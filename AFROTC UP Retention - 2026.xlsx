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 2026 Retention AFROTC" sheetId="1" r:id="rId4"/>
    <sheet state="visible" name="Macias cookin" sheetId="2" r:id="rId5"/>
    <sheet state="visible" name="Detail8-David Kim-100 Roster" sheetId="3" r:id="rId6"/>
    <sheet state="visible" name="Detail7-100 Roster" sheetId="4" r:id="rId7"/>
    <sheet state="visible" name="Detail6-Jessica Lee-100 Roster" sheetId="5" r:id="rId8"/>
    <sheet state="visible" name="Detail5-Jessica Lee-100 Roster" sheetId="6" r:id="rId9"/>
    <sheet state="visible" name="Detail4-100 Roster" sheetId="7" r:id="rId10"/>
    <sheet state="visible" name="Grad year 2028" sheetId="8" r:id="rId11"/>
    <sheet state="visible" name="Grad year 2029" sheetId="9" r:id="rId12"/>
    <sheet state="visible" name="Recruitment HS Opportunities" sheetId="10" r:id="rId13"/>
    <sheet state="visible" name="Perplexity Recruit Info" sheetId="11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<sst xmlns="http://schemas.openxmlformats.org/spreadsheetml/2006/main" count="510" uniqueCount="213">
  <si>
    <t>Name</t>
  </si>
  <si>
    <t>Major</t>
  </si>
  <si>
    <t>Hometown</t>
  </si>
  <si>
    <t>Grad Year</t>
  </si>
  <si>
    <t>Cadet Rank</t>
  </si>
  <si>
    <t>Expected Graduation Date</t>
  </si>
  <si>
    <t>Officer Interest</t>
  </si>
  <si>
    <t>In Program</t>
  </si>
  <si>
    <t>Reason for Unenrollment</t>
  </si>
  <si>
    <t>Emily Rodriguez</t>
  </si>
  <si>
    <t>Computer Science</t>
  </si>
  <si>
    <t>Los Angeles, CA</t>
  </si>
  <si>
    <t>100 Roster</t>
  </si>
  <si>
    <t>4C</t>
  </si>
  <si>
    <t>Space Force</t>
  </si>
  <si>
    <t>Ashley Davis</t>
  </si>
  <si>
    <t>Psychology</t>
  </si>
  <si>
    <t>Eugene, OR</t>
  </si>
  <si>
    <t>3C</t>
  </si>
  <si>
    <t>Intelligence</t>
  </si>
  <si>
    <t>David Kim</t>
  </si>
  <si>
    <t>Nursing</t>
  </si>
  <si>
    <t>Seattle, WA</t>
  </si>
  <si>
    <t>200 Roster</t>
  </si>
  <si>
    <t>C/Maj</t>
  </si>
  <si>
    <t>Nurse</t>
  </si>
  <si>
    <t>Ryan Garcia</t>
  </si>
  <si>
    <t>Civil Engineering</t>
  </si>
  <si>
    <t>San Francisco, CA</t>
  </si>
  <si>
    <t>Matthew Taylor</t>
  </si>
  <si>
    <t>Mechanical Engineering</t>
  </si>
  <si>
    <t>Bend, OR</t>
  </si>
  <si>
    <t>201 Roster</t>
  </si>
  <si>
    <t>Acquisitions</t>
  </si>
  <si>
    <t>Transferred to another school</t>
  </si>
  <si>
    <t>202 Roster</t>
  </si>
  <si>
    <t>Michael Brown</t>
  </si>
  <si>
    <t>Business Administration</t>
  </si>
  <si>
    <t>Boise, ID</t>
  </si>
  <si>
    <t>203 Roster</t>
  </si>
  <si>
    <t>Logistics</t>
  </si>
  <si>
    <t>Daniel Wilson</t>
  </si>
  <si>
    <t>Political Science</t>
  </si>
  <si>
    <t>Vancouver, WA</t>
  </si>
  <si>
    <t>204 Roster</t>
  </si>
  <si>
    <t>Legal</t>
  </si>
  <si>
    <t>Sarah Chen</t>
  </si>
  <si>
    <t>Electrical Engineering</t>
  </si>
  <si>
    <t>Portland, OR</t>
  </si>
  <si>
    <t>205 Roster</t>
  </si>
  <si>
    <t>Pilot</t>
  </si>
  <si>
    <t>Jessica Lee</t>
  </si>
  <si>
    <t>Biology</t>
  </si>
  <si>
    <t>Spokane, WA</t>
  </si>
  <si>
    <t>206 Roster</t>
  </si>
  <si>
    <t>Medical Corps</t>
  </si>
  <si>
    <t>Olivia Martinez</t>
  </si>
  <si>
    <t>Communication</t>
  </si>
  <si>
    <t>Salem, OR</t>
  </si>
  <si>
    <t>207 Roster</t>
  </si>
  <si>
    <t>Public Affairs</t>
  </si>
  <si>
    <t>Aviv Brill</t>
  </si>
  <si>
    <t>Biochemistry</t>
  </si>
  <si>
    <t>Sammamish, WA</t>
  </si>
  <si>
    <t>Retention Rate</t>
  </si>
  <si>
    <t>Pivot Chart (Doubl Click Grand Total to get Full new View basd on Roster Class)</t>
  </si>
  <si>
    <t>grad year 2028</t>
  </si>
  <si>
    <t>COUNTA of Grad Year</t>
  </si>
  <si>
    <t>100 roster</t>
  </si>
  <si>
    <t>200 roster</t>
  </si>
  <si>
    <t>300 roster</t>
  </si>
  <si>
    <t>400 roster</t>
  </si>
  <si>
    <t>names</t>
  </si>
  <si>
    <t>Grand Total</t>
  </si>
  <si>
    <t>total cadet count</t>
  </si>
  <si>
    <t>2024 Cohort Year</t>
  </si>
  <si>
    <t>NOTE: Checkbox = cadet finishes AS year</t>
  </si>
  <si>
    <t>Job interest</t>
  </si>
  <si>
    <t>Disenrollment reason</t>
  </si>
  <si>
    <t>Additional notes</t>
  </si>
  <si>
    <t>Aguilar, Kaden</t>
  </si>
  <si>
    <t>Armstrong, Jacques</t>
  </si>
  <si>
    <t>Bernard-Ngujede, Gabrielle</t>
  </si>
  <si>
    <t>Bolden, LaNiah</t>
  </si>
  <si>
    <t>Brill, Aviv</t>
  </si>
  <si>
    <t>Evans, Josiah</t>
  </si>
  <si>
    <t>Haake, Avery</t>
  </si>
  <si>
    <t>Housley, Aiden</t>
  </si>
  <si>
    <t>Lawes, Sheadon</t>
  </si>
  <si>
    <t>250 Cadet</t>
  </si>
  <si>
    <t>Lopez-Garcia, Jesus</t>
  </si>
  <si>
    <t>Pacheco, Jude</t>
  </si>
  <si>
    <t>Raynor, Robert</t>
  </si>
  <si>
    <t>Ripp, Ava</t>
  </si>
  <si>
    <t>Seese-O'Connell, Kaleo</t>
  </si>
  <si>
    <t>Sizemore, Clinton</t>
  </si>
  <si>
    <t>StaElena, Emma Joy</t>
  </si>
  <si>
    <t>Stokes, Payton</t>
  </si>
  <si>
    <t>Swanson, Dominic</t>
  </si>
  <si>
    <t>Uy, Sean</t>
  </si>
  <si>
    <t>Wesche, Polaris</t>
  </si>
  <si>
    <t>Total Cadet count</t>
  </si>
  <si>
    <t>No contributing data for this category</t>
  </si>
  <si>
    <t>School Name</t>
  </si>
  <si>
    <t>School Type</t>
  </si>
  <si>
    <t>Contact Person</t>
  </si>
  <si>
    <t>Contact Email</t>
  </si>
  <si>
    <t>Contact Phone</t>
  </si>
  <si>
    <t>City</t>
  </si>
  <si>
    <t>Response Received</t>
  </si>
  <si>
    <t>Spiritual Leader Outreach</t>
  </si>
  <si>
    <t>Proposed Recruiting Session Date</t>
  </si>
  <si>
    <t>Notes</t>
  </si>
  <si>
    <t>Seattle Preparatory School</t>
  </si>
  <si>
    <t>Catholic/Jesuit High</t>
  </si>
  <si>
    <t>Ann Alokolaro</t>
  </si>
  <si>
    <r>
      <rPr>
        <color rgb="FF1155CC"/>
        <u/>
      </rPr>
      <t>aalokolaro@seaprep.org</t>
    </r>
  </si>
  <si>
    <t>(206) 577-2146</t>
  </si>
  <si>
    <t>Seattle</t>
  </si>
  <si>
    <t>Cristo Rey Jesuit Seattle</t>
  </si>
  <si>
    <t>Flor Gonzalez</t>
  </si>
  <si>
    <t>fgonzales@cristostoreyseattle.org</t>
  </si>
  <si>
    <t>(206) 688-2108</t>
  </si>
  <si>
    <t>Bishop Blanchet HS</t>
  </si>
  <si>
    <t>mainoffice@bishopblanchet.org</t>
  </si>
  <si>
    <t>(206) 527-7711</t>
  </si>
  <si>
    <t>Holy Names Academy</t>
  </si>
  <si>
    <t>admissions@holynames-sea.org</t>
  </si>
  <si>
    <t>(206) 323-4272</t>
  </si>
  <si>
    <t>O’Dea High School</t>
  </si>
  <si>
    <t>info@odea.org</t>
  </si>
  <si>
    <t>(206) 622-6596</t>
  </si>
  <si>
    <t>Eastside Catholic HS</t>
  </si>
  <si>
    <t>admissions@eastsidecatholic.org</t>
  </si>
  <si>
    <t>(425) 295-3000</t>
  </si>
  <si>
    <t>Central Catholic HS</t>
  </si>
  <si>
    <t>admissions@centralcatholichigh.org</t>
  </si>
  <si>
    <t>(503) 235-3138</t>
  </si>
  <si>
    <t>St. Mary’s Academy</t>
  </si>
  <si>
    <t>info@smapdx.org</t>
  </si>
  <si>
    <t>(503) 228-8306</t>
  </si>
  <si>
    <t>Valley Catholic HS</t>
  </si>
  <si>
    <t>admissions@valleycatholic.org</t>
  </si>
  <si>
    <t>Beaverton, OR</t>
  </si>
  <si>
    <t>(503) 644-3745</t>
  </si>
  <si>
    <t>De La Salle North Catholic HS</t>
  </si>
  <si>
    <t>admissions@delasallenorth.org</t>
  </si>
  <si>
    <t>(503) 285-9385</t>
  </si>
  <si>
    <t>La Salle Catholic College Prep</t>
  </si>
  <si>
    <t>admissions@lsprep.org</t>
  </si>
  <si>
    <t>Milwaukie, OR</t>
  </si>
  <si>
    <t>(503) 659-4155</t>
  </si>
  <si>
    <t>St. Elizabeth Ann Seton Catholic HS</t>
  </si>
  <si>
    <t>info@setonhigh.org</t>
  </si>
  <si>
    <t>(360) 258-1932</t>
  </si>
  <si>
    <t>Jesuit and Catholic High Schools in Seattle, Greater Seattle, Portland, and Greater Portland</t>
  </si>
  <si>
    <t>Below is a list of Catholic and Jesuit high schools in the requested metro areas, with key contact information for recruiting outreach.</t>
  </si>
  <si>
    <t>Seattle &amp; Suburban Seattle</t>
  </si>
  <si>
    <t>Jesuit High Schools</t>
  </si>
  <si>
    <t>Location</t>
  </si>
  <si>
    <t>Phone</t>
  </si>
  <si>
    <t>Key Contact &amp; Email</t>
  </si>
  <si>
    <t>(206) 324-0400</t>
  </si>
  <si>
    <r>
      <t xml:space="preserve">Ann Alokolaro (Director of Admissions): </t>
    </r>
    <r>
      <rPr>
        <rFont val="&quot;inter&quot;,serif"/>
        <b/>
        <color rgb="FF1155CC"/>
        <sz val="9.0"/>
        <u/>
      </rPr>
      <t>aalokolaro@seaprep.org</t>
    </r>
    <r>
      <rPr>
        <rFont val="&quot;inter&quot;,serif"/>
        <b/>
        <sz val="9.0"/>
      </rPr>
      <t xml:space="preserve"> / (206) 577-2146</t>
    </r>
    <r>
      <rPr>
        <rFont val="&quot;inter&quot;,serif"/>
        <b/>
        <color rgb="FF1155CC"/>
        <sz val="9.0"/>
        <u/>
      </rPr>
      <t>[1]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[2]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[3]</t>
    </r>
  </si>
  <si>
    <t>(206) 688-2100</t>
  </si>
  <si>
    <r>
      <t xml:space="preserve">Flor Gonzalez (Admissions): </t>
    </r>
    <r>
      <rPr>
        <rFont val="&quot;inter&quot;,serif"/>
        <b/>
        <color rgb="FF1155CC"/>
        <sz val="9.0"/>
        <u/>
      </rPr>
      <t>fgonzalez@cristoreyseattle.org</t>
    </r>
    <r>
      <rPr>
        <rFont val="&quot;inter&quot;,serif"/>
        <b/>
        <sz val="9.0"/>
      </rPr>
      <t xml:space="preserve"> / (206) 688-2108</t>
    </r>
    <r>
      <rPr>
        <rFont val="&quot;inter&quot;,serif"/>
        <b/>
        <color rgb="FF1155CC"/>
        <sz val="9.0"/>
        <u/>
      </rPr>
      <t>[4]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[5]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[6]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[7]</t>
    </r>
  </si>
  <si>
    <t>Other Catholic High Schools</t>
  </si>
  <si>
    <t>Main Email</t>
  </si>
  <si>
    <r>
      <rPr>
        <rFont val="&quot;inter&quot;,serif"/>
        <b/>
        <color rgb="FF1155CC"/>
        <sz val="9.0"/>
        <u/>
      </rPr>
      <t>mainoffice@bishopblanchet.org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[8]</t>
    </r>
  </si>
  <si>
    <r>
      <rPr>
        <rFont val="&quot;inter&quot;,serif"/>
        <b/>
        <color rgb="FF1155CC"/>
        <sz val="9.0"/>
        <u/>
      </rPr>
      <t>admissions@holynames-sea.org</t>
    </r>
  </si>
  <si>
    <r>
      <rPr>
        <rFont val="&quot;inter&quot;,serif"/>
        <b/>
        <color rgb="FF1155CC"/>
        <sz val="9.0"/>
        <u/>
      </rPr>
      <t>info@odea.org</t>
    </r>
  </si>
  <si>
    <r>
      <rPr>
        <rFont val="&quot;inter&quot;,serif"/>
        <b/>
        <color rgb="FF1155CC"/>
        <sz val="9.0"/>
        <u/>
      </rPr>
      <t>admissions@eastsidecatholic.org</t>
    </r>
  </si>
  <si>
    <t>Portland &amp; Suburban Portland</t>
  </si>
  <si>
    <t>Jesuit High School</t>
  </si>
  <si>
    <t>(503) 292-2663</t>
  </si>
  <si>
    <r>
      <t xml:space="preserve">Admissions Office: </t>
    </r>
    <r>
      <rPr>
        <rFont val="&quot;inter&quot;,serif"/>
        <b/>
        <color rgb="FF1155CC"/>
        <sz val="9.0"/>
        <u/>
      </rPr>
      <t>admissions@jesuitportland.org</t>
    </r>
    <r>
      <rPr>
        <rFont val="&quot;inter&quot;,serif"/>
        <b/>
        <sz val="9.0"/>
      </rPr>
      <t xml:space="preserve"> / (503) 291-5423</t>
    </r>
    <r>
      <rPr>
        <rFont val="&quot;inter&quot;,serif"/>
        <b/>
        <color rgb="FF1155CC"/>
        <sz val="9.0"/>
        <u/>
      </rPr>
      <t>[9]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[10]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[11]</t>
    </r>
  </si>
  <si>
    <r>
      <rPr>
        <rFont val="&quot;inter&quot;,serif"/>
        <b/>
        <color rgb="FF1155CC"/>
        <sz val="9.0"/>
        <u/>
      </rPr>
      <t>admissions@centralcatholichigh.org</t>
    </r>
  </si>
  <si>
    <r>
      <rPr>
        <rFont val="&quot;inter&quot;,serif"/>
        <b/>
        <color rgb="FF1155CC"/>
        <sz val="9.0"/>
        <u/>
      </rPr>
      <t>info@smapdx.org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[12]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[13]</t>
    </r>
    <r>
      <rPr>
        <rFont val="&quot;inter&quot;,serif"/>
        <b/>
        <sz val="9.0"/>
      </rPr>
      <t/>
    </r>
    <r>
      <rPr>
        <rFont val="&quot;inter&quot;,serif"/>
        <b/>
        <color rgb="FF1155CC"/>
        <sz val="9.0"/>
        <u/>
      </rPr>
      <t>[14]</t>
    </r>
  </si>
  <si>
    <r>
      <rPr>
        <rFont val="&quot;inter&quot;,serif"/>
        <b/>
        <color rgb="FF1155CC"/>
        <sz val="9.0"/>
        <u/>
      </rPr>
      <t>admissions@valleycatholic.org</t>
    </r>
  </si>
  <si>
    <r>
      <rPr>
        <rFont val="&quot;inter&quot;,serif"/>
        <b/>
        <color rgb="FF1155CC"/>
        <sz val="9.0"/>
        <u/>
      </rPr>
      <t>admissions@delasallenorth.org</t>
    </r>
  </si>
  <si>
    <r>
      <rPr>
        <rFont val="&quot;inter&quot;,serif"/>
        <b/>
        <color rgb="FF1155CC"/>
        <sz val="9.0"/>
        <u/>
      </rPr>
      <t>admissions@lsprep.org</t>
    </r>
  </si>
  <si>
    <r>
      <rPr>
        <rFont val="&quot;inter&quot;,serif"/>
        <b/>
        <color rgb="FF1155CC"/>
        <sz val="9.0"/>
        <u/>
      </rPr>
      <t>info@setonhigh.org</t>
    </r>
  </si>
  <si>
    <t>Tips for Contacting Schools for ROTC Recruiting</t>
  </si>
  <si>
    <t>· Target the Director of Admissions or counselor/advisor contact—they are often gatekeepers for student opportunities. For some, Admissions assistants or office staff will route your communication appropriately.</t>
  </si>
  <si>
    <t>· Briefly introduce yourself as an AFROTC recruiter and University of Portland sophomore, and request an opportunity to share ROTC scholarship and leadership information with students.</t>
  </si>
  <si>
    <t>· Offer to provide digital materials or schedule a short in-person or virtual session for interested students.</t>
  </si>
  <si>
    <t>Sample Outreach Contacts</t>
  </si>
  <si>
    <t>Seattle Preparatory School (Jesuit)</t>
  </si>
  <si>
    <r>
      <t xml:space="preserve">· Admissions: Ann Alokolaro, </t>
    </r>
    <r>
      <rPr>
        <rFont val="&quot;inter&quot;,serif"/>
        <b/>
        <color rgb="FF1155CC"/>
        <sz val="12.0"/>
        <u/>
      </rPr>
      <t>aalokolaro@seaprep.org</t>
    </r>
    <r>
      <rPr>
        <rFont val="&quot;inter&quot;,serif"/>
        <b/>
        <color rgb="FF000000"/>
        <sz val="12.0"/>
      </rPr>
      <t>, (206) 577-2146</t>
    </r>
  </si>
  <si>
    <r>
      <t>· Main Line: (206) 324-0400</t>
    </r>
    <r>
      <rPr>
        <rFont val="&quot;inter&quot;,serif"/>
        <b/>
        <color rgb="FF1155CC"/>
        <sz val="12.0"/>
        <u/>
      </rPr>
      <t>[1]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[2]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[3]</t>
    </r>
  </si>
  <si>
    <r>
      <t xml:space="preserve">· Admissions: Flor Gonzalez, </t>
    </r>
    <r>
      <rPr>
        <rFont val="&quot;inter&quot;,serif"/>
        <b/>
        <color rgb="FF1155CC"/>
        <sz val="12.0"/>
        <u/>
      </rPr>
      <t>fgonzalez@cristoreyseattle.org</t>
    </r>
    <r>
      <rPr>
        <rFont val="&quot;inter&quot;,serif"/>
        <b/>
        <color rgb="FF000000"/>
        <sz val="12.0"/>
      </rPr>
      <t>, (206) 688-2108</t>
    </r>
  </si>
  <si>
    <r>
      <t xml:space="preserve">· Main Office: </t>
    </r>
    <r>
      <rPr>
        <rFont val="&quot;inter&quot;,serif"/>
        <b/>
        <color rgb="FF1155CC"/>
        <sz val="12.0"/>
        <u/>
      </rPr>
      <t>info@cristoreyseattle.org</t>
    </r>
    <r>
      <rPr>
        <rFont val="&quot;inter&quot;,serif"/>
        <b/>
        <color rgb="FF000000"/>
        <sz val="12.0"/>
      </rPr>
      <t>, (206) 688-2100</t>
    </r>
    <r>
      <rPr>
        <rFont val="&quot;inter&quot;,serif"/>
        <b/>
        <color rgb="FF1155CC"/>
        <sz val="12.0"/>
        <u/>
      </rPr>
      <t>[4]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[5]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[6]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[7]</t>
    </r>
  </si>
  <si>
    <t>Jesuit High School, Portland</t>
  </si>
  <si>
    <r>
      <t xml:space="preserve">· Admissions Office: </t>
    </r>
    <r>
      <rPr>
        <rFont val="&quot;inter&quot;,serif"/>
        <b/>
        <color rgb="FF1155CC"/>
        <sz val="12.0"/>
        <u/>
      </rPr>
      <t>admissions@jesuitportland.org</t>
    </r>
    <r>
      <rPr>
        <rFont val="&quot;inter&quot;,serif"/>
        <b/>
        <color rgb="FF000000"/>
        <sz val="12.0"/>
      </rPr>
      <t>, (503) 291-5423</t>
    </r>
  </si>
  <si>
    <r>
      <t>· Main Line: (503) 292-2663</t>
    </r>
    <r>
      <rPr>
        <rFont val="&quot;inter&quot;,serif"/>
        <b/>
        <color rgb="FF1155CC"/>
        <sz val="12.0"/>
        <u/>
      </rPr>
      <t>[9]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[10]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[11]</t>
    </r>
  </si>
  <si>
    <t>St. Mary's Academy, Portland</t>
  </si>
  <si>
    <r>
      <t xml:space="preserve">· General Contact: </t>
    </r>
    <r>
      <rPr>
        <rFont val="&quot;inter&quot;,serif"/>
        <b/>
        <color rgb="FF1155CC"/>
        <sz val="12.0"/>
        <u/>
      </rPr>
      <t>info@smapdx.org</t>
    </r>
    <r>
      <rPr>
        <rFont val="&quot;inter&quot;,serif"/>
        <b/>
        <color rgb="FF000000"/>
        <sz val="12.0"/>
      </rPr>
      <t>, (503) 228-8306</t>
    </r>
    <r>
      <rPr>
        <rFont val="&quot;inter&quot;,serif"/>
        <b/>
        <color rgb="FF1155CC"/>
        <sz val="12.0"/>
        <u/>
      </rPr>
      <t>[12]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[13]</t>
    </r>
    <r>
      <rPr>
        <rFont val="&quot;inter&quot;,serif"/>
        <b/>
        <color rgb="FF000000"/>
        <sz val="12.0"/>
      </rPr>
      <t/>
    </r>
    <r>
      <rPr>
        <rFont val="&quot;inter&quot;,serif"/>
        <b/>
        <color rgb="FF1155CC"/>
        <sz val="12.0"/>
        <u/>
      </rPr>
      <t>[14]</t>
    </r>
  </si>
  <si>
    <t>If you need other school contacts or details on suburban Catholic/Jesuit high schools not listed above, let me know and I can help further.</t>
  </si>
  <si>
    <t>⁂</t>
  </si>
  <si>
    <r>
      <t xml:space="preserve">1. </t>
    </r>
    <r>
      <rPr>
        <rFont val="&quot;inter&quot;,serif"/>
        <b/>
        <color rgb="FF1155CC"/>
        <sz val="9.0"/>
        <u/>
      </rPr>
      <t>https://www.seaprep.org</t>
    </r>
  </si>
  <si>
    <r>
      <t xml:space="preserve">2. </t>
    </r>
    <r>
      <rPr>
        <rFont val="&quot;inter&quot;,serif"/>
        <b/>
        <color rgb="FF1155CC"/>
        <sz val="9.0"/>
        <u/>
      </rPr>
      <t>https://www.seaprep.org/about-prep/contactanddirections</t>
    </r>
  </si>
  <si>
    <r>
      <t xml:space="preserve">3. </t>
    </r>
    <r>
      <rPr>
        <rFont val="&quot;inter&quot;,serif"/>
        <b/>
        <color rgb="FF1155CC"/>
        <sz val="9.0"/>
        <u/>
      </rPr>
      <t>https://www.seaprep.org/about-prep/directory</t>
    </r>
  </si>
  <si>
    <r>
      <t xml:space="preserve">4. </t>
    </r>
    <r>
      <rPr>
        <rFont val="&quot;inter&quot;,serif"/>
        <b/>
        <color rgb="FF1155CC"/>
        <sz val="9.0"/>
        <u/>
      </rPr>
      <t>https://www.cristoreyseattle.org</t>
    </r>
  </si>
  <si>
    <r>
      <t xml:space="preserve">5. </t>
    </r>
    <r>
      <rPr>
        <rFont val="&quot;inter&quot;,serif"/>
        <b/>
        <color rgb="FF1155CC"/>
        <sz val="9.0"/>
        <u/>
      </rPr>
      <t>https://www.cristoreyseattle.org/admissions</t>
    </r>
  </si>
  <si>
    <r>
      <t xml:space="preserve">6. </t>
    </r>
    <r>
      <rPr>
        <rFont val="&quot;inter&quot;,serif"/>
        <b/>
        <color rgb="FF1155CC"/>
        <sz val="9.0"/>
        <u/>
      </rPr>
      <t>https://www.cristoreyseattle.org/admissions/visit</t>
    </r>
  </si>
  <si>
    <r>
      <t xml:space="preserve">7. </t>
    </r>
    <r>
      <rPr>
        <rFont val="&quot;inter&quot;,serif"/>
        <b/>
        <color rgb="FF1155CC"/>
        <sz val="9.0"/>
        <u/>
      </rPr>
      <t>https://www.cristoreyseattle.org/about-us/welcome</t>
    </r>
  </si>
  <si>
    <r>
      <t xml:space="preserve">8. </t>
    </r>
    <r>
      <rPr>
        <rFont val="&quot;inter&quot;,serif"/>
        <b/>
        <color rgb="FF1155CC"/>
        <sz val="9.0"/>
        <u/>
      </rPr>
      <t>https://www.bishopblanchet.org</t>
    </r>
  </si>
  <si>
    <r>
      <t xml:space="preserve">9. </t>
    </r>
    <r>
      <rPr>
        <rFont val="&quot;inter&quot;,serif"/>
        <b/>
        <color rgb="FF1155CC"/>
        <sz val="9.0"/>
        <u/>
      </rPr>
      <t>https://en.wikipedia.org/wiki/Jesuit_High_School_(Beaverton,_Oregon)</t>
    </r>
  </si>
  <si>
    <r>
      <t xml:space="preserve">10. </t>
    </r>
    <r>
      <rPr>
        <rFont val="&quot;inter&quot;,serif"/>
        <b/>
        <color rgb="FF1155CC"/>
        <sz val="9.0"/>
        <u/>
      </rPr>
      <t>https://www.niche.com/k12/jesuit-high-school-portland-or/</t>
    </r>
  </si>
  <si>
    <r>
      <t xml:space="preserve">11. </t>
    </r>
    <r>
      <rPr>
        <rFont val="&quot;inter&quot;,serif"/>
        <b/>
        <color rgb="FF1155CC"/>
        <sz val="9.0"/>
        <u/>
      </rPr>
      <t>https://www.jesuitportland.org/about/contact</t>
    </r>
  </si>
  <si>
    <r>
      <t xml:space="preserve">12. </t>
    </r>
    <r>
      <rPr>
        <rFont val="&quot;inter&quot;,serif"/>
        <b/>
        <color rgb="FF1155CC"/>
        <sz val="9.0"/>
        <u/>
      </rPr>
      <t>https://www.stmaryspdx.org/about/contact-us</t>
    </r>
  </si>
  <si>
    <r>
      <t xml:space="preserve">13. </t>
    </r>
    <r>
      <rPr>
        <rFont val="&quot;inter&quot;,serif"/>
        <b/>
        <color rgb="FF1155CC"/>
        <sz val="9.0"/>
        <u/>
      </rPr>
      <t>https://www.stmaryspdx.org/about/contact-us/directions</t>
    </r>
  </si>
  <si>
    <r>
      <t xml:space="preserve">14. </t>
    </r>
    <r>
      <rPr>
        <rFont val="&quot;inter&quot;,serif"/>
        <b/>
        <color rgb="FF1155CC"/>
        <sz val="9.0"/>
        <u/>
      </rPr>
      <t>https://www.portlandmaps.com/detail/school/St.-Mary's-Academy-School/667_did/?property_id=R556757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</si>
</sst>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b/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color rgb="FF666666"/>
      <name val="Arial"/>
      <scheme val="minor"/>
    </font>
    <font>
      <u/>
      <color rgb="FF0000FF"/>
      <name val="Roboto"/>
    </font>
    <font>
      <sz val="11.0"/>
      <color theme="1"/>
      <name val="FkGroteskNeue"/>
    </font>
    <font>
      <b/>
      <sz val="12.0"/>
      <color rgb="FF000000"/>
      <name val="&quot;inter&quot;"/>
    </font>
    <font>
      <b/>
      <sz val="9.0"/>
      <color rgb="FF000000"/>
      <name val="&quot;inter&quot;"/>
    </font>
    <font>
      <b/>
      <u/>
      <sz val="9.0"/>
      <color rgb="FF0000FF"/>
      <name val="&quot;inter&quot;"/>
    </font>
    <font>
      <b/>
      <u/>
      <sz val="12.0"/>
      <color rgb="FF000000"/>
      <name val="&quot;inter&quot;"/>
    </font>
    <font>
      <b/>
      <u/>
      <sz val="9.0"/>
      <color rgb="FF000000"/>
      <name val="&quot;inter&quot;"/>
    </font>
  </fonts>
  <fills count="6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3" fontId="3" numFmtId="164" xfId="0" applyAlignment="1" applyBorder="1" applyFill="1" applyFont="1" applyNumberFormat="1">
      <alignment shrinkToFit="0" vertical="center" wrapText="0"/>
    </xf>
    <xf borderId="5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7" fillId="4" fontId="3" numFmtId="164" xfId="0" applyAlignment="1" applyBorder="1" applyFill="1" applyFont="1" applyNumberFormat="1">
      <alignment shrinkToFit="0" vertical="center" wrapText="0"/>
    </xf>
    <xf borderId="8" fillId="0" fontId="1" numFmtId="164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0" fillId="4" fontId="3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1" numFmtId="0" xfId="0" applyFont="1"/>
    <xf borderId="0" fillId="0" fontId="5" numFmtId="0" xfId="0" applyAlignment="1" applyFont="1">
      <alignment readingOrder="0"/>
    </xf>
    <xf borderId="13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center" readingOrder="0"/>
    </xf>
    <xf borderId="15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shrinkToFit="0" wrapText="1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7" fillId="0" fontId="1" numFmtId="164" xfId="0" applyAlignment="1" applyBorder="1" applyFont="1" applyNumberFormat="1">
      <alignment readingOrder="0"/>
    </xf>
    <xf borderId="18" fillId="0" fontId="1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shrinkToFit="0" vertical="center" wrapText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readingOrder="0" vertical="top"/>
    </xf>
    <xf borderId="0" fillId="0" fontId="12" numFmtId="0" xfId="0" applyAlignment="1" applyFont="1">
      <alignment horizontal="center" readingOrder="0" vertical="top"/>
    </xf>
    <xf borderId="0" fillId="0" fontId="10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6">
    <tableStyle count="3" pivot="0" name="UP 2026 Retention AFROTC-style">
      <tableStyleElement dxfId="1" type="headerRow"/>
      <tableStyleElement dxfId="2" type="firstRowStripe"/>
      <tableStyleElement dxfId="3" type="secondRowStripe"/>
    </tableStyle>
    <tableStyle count="3" pivot="0" name="Detail8-David Kim-100 Roster-style">
      <tableStyleElement dxfId="4" type="headerRow"/>
      <tableStyleElement dxfId="5" type="firstRowStripe"/>
      <tableStyleElement dxfId="2" type="secondRowStripe"/>
    </tableStyle>
    <tableStyle count="3" pivot="0" name="Detail7-100 Roster-style">
      <tableStyleElement dxfId="4" type="headerRow"/>
      <tableStyleElement dxfId="5" type="firstRowStripe"/>
      <tableStyleElement dxfId="2" type="secondRowStripe"/>
    </tableStyle>
    <tableStyle count="3" pivot="0" name="Detail6-Jessica Lee-100 Roster-style">
      <tableStyleElement dxfId="4" type="headerRow"/>
      <tableStyleElement dxfId="5" type="firstRowStripe"/>
      <tableStyleElement dxfId="2" type="secondRowStripe"/>
    </tableStyle>
    <tableStyle count="3" pivot="0" name="Detail5-Jessica Lee-100 Roster-style">
      <tableStyleElement dxfId="4" type="headerRow"/>
      <tableStyleElement dxfId="5" type="firstRowStripe"/>
      <tableStyleElement dxfId="2" type="secondRowStripe"/>
    </tableStyle>
    <tableStyle count="3" pivot="0" name="Recruitment HS Opportunit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I15" sheet="UP 2026 Retention AFROTC"/>
  </cacheSource>
  <cacheFields>
    <cacheField name="Name" numFmtId="0">
      <sharedItems>
        <s v="Emily Rodriguez"/>
        <s v="Ashley Davis"/>
        <s v="David Kim"/>
        <s v="Ryan Garcia"/>
        <s v="Matthew Taylor"/>
        <s v="Michael Brown"/>
        <s v="Daniel Wilson"/>
        <s v="Sarah Chen"/>
        <s v="Jessica Lee"/>
        <s v="Olivia Martinez"/>
      </sharedItems>
    </cacheField>
    <cacheField name="Major" numFmtId="0">
      <sharedItems>
        <s v="Computer Science"/>
        <s v="Psychology"/>
        <s v="Nursing"/>
        <s v="Civil Engineering"/>
        <s v="Mechanical Engineering"/>
        <s v="Business Administration"/>
        <s v="Political Science"/>
        <s v="Electrical Engineering"/>
        <s v="Biology"/>
        <s v="Communication"/>
      </sharedItems>
    </cacheField>
    <cacheField name="Hometown" numFmtId="0">
      <sharedItems>
        <s v="Los Angeles, CA"/>
        <s v="Eugene, OR"/>
        <s v="Seattle, WA"/>
        <s v="San Francisco, CA"/>
        <s v="Bend, OR"/>
        <s v="Boise, ID"/>
        <s v="Vancouver, WA"/>
        <s v="Portland, OR"/>
        <s v="Spokane, WA"/>
        <s v="Salem, OR"/>
      </sharedItems>
    </cacheField>
    <cacheField name="Grad Year" numFmtId="0">
      <sharedItems>
        <s v="100 Roster"/>
        <s v="200 Roster"/>
        <s v="201 Roster"/>
        <s v="202 Roster"/>
        <s v="203 Roster"/>
        <s v="204 Roster"/>
        <s v="205 Roster"/>
        <s v="206 Roster"/>
        <s v="207 Roster"/>
      </sharedItems>
    </cacheField>
    <cacheField name="Cadet Rank" numFmtId="164">
      <sharedItems>
        <s v="4C"/>
        <s v="3C"/>
        <s v="C/Maj"/>
      </sharedItems>
    </cacheField>
    <cacheField name="Expected Graduation Date" numFmtId="164">
      <sharedItems containsSemiMixedTypes="0" containsDate="1" containsString="0">
        <d v="2029-05-06T00:00:00Z"/>
      </sharedItems>
    </cacheField>
    <cacheField name="Officer Interest" numFmtId="0">
      <sharedItems>
        <s v="Space Force"/>
        <s v="Intelligence"/>
        <s v="Nurse"/>
        <s v="Civil Engineering"/>
        <s v="Acquisitions"/>
        <s v="Logistics"/>
        <s v="Legal"/>
        <s v="Pilot"/>
        <s v="Medical Corps"/>
        <s v="Public Affairs"/>
      </sharedItems>
    </cacheField>
    <cacheField name="In Program" numFmtId="0">
      <sharedItems>
        <b v="1"/>
        <b v="0"/>
      </sharedItems>
    </cacheField>
    <cacheField name="Reason for Unenrollment" numFmtId="0">
      <sharedItems containsBlank="1">
        <m/>
        <s v="Transferred to another schoo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P 2026 Retention AFROTC" cacheId="0" dataCaption="" colGrandTotals="0" compact="0" compactData="0">
  <location ref="G26:P38" firstHeaderRow="0" firstDataRow="1" firstDataCol="1"/>
  <pivotFields>
    <pivotField name="Name" axis="axisRow" compact="0" outline="0" multipleItemSelectionAllowed="1" showAll="0" sortType="ascending">
      <items>
        <item x="1"/>
        <item x="6"/>
        <item x="2"/>
        <item x="0"/>
        <item x="8"/>
        <item x="4"/>
        <item x="5"/>
        <item x="9"/>
        <item x="3"/>
        <item x="7"/>
        <item t="default"/>
      </items>
    </pivotField>
    <pivotField name="Maj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metow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rad Year" axis="axisCol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det Rank" compact="0" numFmtId="164" outline="0" multipleItemSelectionAllowed="1" showAll="0">
      <items>
        <item x="0"/>
        <item x="1"/>
        <item x="2"/>
        <item t="default"/>
      </items>
    </pivotField>
    <pivotField name="Expected Graduation Date" compact="0" numFmtId="164" outline="0" multipleItemSelectionAllowed="1" showAll="0">
      <items>
        <item x="0"/>
        <item t="default"/>
      </items>
    </pivotField>
    <pivotField name="Officer 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 Program" compact="0" outline="0" multipleItemSelectionAllowed="1" showAll="0">
      <items>
        <item x="0"/>
        <item x="1"/>
        <item t="default"/>
      </items>
    </pivotField>
    <pivotField name="Reason for Unenrollment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3"/>
  </colFields>
  <dataFields>
    <dataField name="COUNTA of Grad Year" fld="3" subtotal="count" baseField="0"/>
  </dataFields>
</pivotTableDefinition>
</file>

<file path=xl/tables/table1.xml><?xml version="1.0" encoding="utf-8"?>
<table xmlns="http://schemas.openxmlformats.org/spreadsheetml/2006/main" ref="A4:I16" displayName="Table1" name="Table1" id="1">
  <tableColumns count="9">
    <tableColumn name="Name" id="1"/>
    <tableColumn name="Major" id="2"/>
    <tableColumn name="Hometown" id="3"/>
    <tableColumn name="Grad Year" id="4"/>
    <tableColumn name="Cadet Rank" id="5"/>
    <tableColumn name="Expected Graduation Date" id="6"/>
    <tableColumn name="Officer Interest" id="7"/>
    <tableColumn name="In Program" id="8"/>
    <tableColumn name="Reason for Unenrollment" id="9"/>
  </tableColumns>
  <tableStyleInfo name="UP 2026 Retention AFROTC-style" showColumnStripes="0" showFirstColumn="1" showLastColumn="1" showRowStripes="1"/>
</table>
</file>

<file path=xl/tables/table2.xml><?xml version="1.0" encoding="utf-8"?>
<table xmlns="http://schemas.openxmlformats.org/spreadsheetml/2006/main" headerRowCount="0" ref="A1:I1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tail8-David Kim-100 Ro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I3" displayName="Table_2" name="Table_2" id="3">
  <tableColumns count="9">
    <tableColumn name="Name" id="1"/>
    <tableColumn name="Major" id="2"/>
    <tableColumn name="Hometown" id="3"/>
    <tableColumn name="Grad Year" id="4"/>
    <tableColumn name="Cadet Rank" id="5"/>
    <tableColumn name="Expected Graduation Date" id="6"/>
    <tableColumn name="Officer Interest" id="7"/>
    <tableColumn name="In Program" id="8"/>
    <tableColumn name="Reason for Unenrollment" id="9"/>
  </tableColumns>
  <tableStyleInfo name="Detail7-100 Roster-style" showColumnStripes="0" showFirstColumn="1" showLastColumn="1" showRowStripes="1"/>
</table>
</file>

<file path=xl/tables/table4.xml><?xml version="1.0" encoding="utf-8"?>
<table xmlns="http://schemas.openxmlformats.org/spreadsheetml/2006/main" headerRowCount="0" ref="A1:I1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tail6-Jessica Lee-100 Ro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I1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etail5-Jessica Lee-100 Ro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J15" displayName="Table2" name="Table2" id="6">
  <tableColumns count="10">
    <tableColumn name="School Name" id="1"/>
    <tableColumn name="School Type" id="2"/>
    <tableColumn name="Contact Person" id="3"/>
    <tableColumn name="Contact Email" id="4"/>
    <tableColumn name="Contact Phone" id="5"/>
    <tableColumn name="City" id="6"/>
    <tableColumn name="Response Received" id="7"/>
    <tableColumn name="Spiritual Leader Outreach" id="8"/>
    <tableColumn name="Proposed Recruiting Session Date" id="9"/>
    <tableColumn name="Notes" id="10"/>
  </tableColumns>
  <tableStyleInfo name="Recruitment HS Opportu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alokolaro@seaprep.org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mailto:info@smapdx.org" TargetMode="External"/><Relationship Id="rId22" Type="http://schemas.openxmlformats.org/officeDocument/2006/relationships/hyperlink" Target="https://www.seaprep.org/about-prep/contactanddirections" TargetMode="External"/><Relationship Id="rId21" Type="http://schemas.openxmlformats.org/officeDocument/2006/relationships/hyperlink" Target="https://www.seaprep.org" TargetMode="External"/><Relationship Id="rId24" Type="http://schemas.openxmlformats.org/officeDocument/2006/relationships/hyperlink" Target="https://www.cristoreyseattle.org" TargetMode="External"/><Relationship Id="rId23" Type="http://schemas.openxmlformats.org/officeDocument/2006/relationships/hyperlink" Target="https://www.seaprep.org/about-prep/directory" TargetMode="External"/><Relationship Id="rId1" Type="http://schemas.openxmlformats.org/officeDocument/2006/relationships/hyperlink" Target="mailto:aalokolaro@seaprep.org" TargetMode="External"/><Relationship Id="rId2" Type="http://schemas.openxmlformats.org/officeDocument/2006/relationships/hyperlink" Target="mailto:fgonzalez@cristoreyseattle.org" TargetMode="External"/><Relationship Id="rId3" Type="http://schemas.openxmlformats.org/officeDocument/2006/relationships/hyperlink" Target="mailto:mainoffice@bishopblanchet.org" TargetMode="External"/><Relationship Id="rId4" Type="http://schemas.openxmlformats.org/officeDocument/2006/relationships/hyperlink" Target="mailto:admissions@holynames-sea.org" TargetMode="External"/><Relationship Id="rId9" Type="http://schemas.openxmlformats.org/officeDocument/2006/relationships/hyperlink" Target="mailto:info@smapdx.org" TargetMode="External"/><Relationship Id="rId26" Type="http://schemas.openxmlformats.org/officeDocument/2006/relationships/hyperlink" Target="https://www.cristoreyseattle.org/admissions/visit" TargetMode="External"/><Relationship Id="rId25" Type="http://schemas.openxmlformats.org/officeDocument/2006/relationships/hyperlink" Target="https://www.cristoreyseattle.org/admissions" TargetMode="External"/><Relationship Id="rId28" Type="http://schemas.openxmlformats.org/officeDocument/2006/relationships/hyperlink" Target="https://www.bishopblanchet.org" TargetMode="External"/><Relationship Id="rId27" Type="http://schemas.openxmlformats.org/officeDocument/2006/relationships/hyperlink" Target="https://www.cristoreyseattle.org/about-us/welcome" TargetMode="External"/><Relationship Id="rId5" Type="http://schemas.openxmlformats.org/officeDocument/2006/relationships/hyperlink" Target="mailto:info@odea.org" TargetMode="External"/><Relationship Id="rId6" Type="http://schemas.openxmlformats.org/officeDocument/2006/relationships/hyperlink" Target="mailto:admissions@eastsidecatholic.org" TargetMode="External"/><Relationship Id="rId29" Type="http://schemas.openxmlformats.org/officeDocument/2006/relationships/hyperlink" Target="https://en.wikipedia.org/wiki/Jesuit_High_School_(Beaverton,_Oregon)" TargetMode="External"/><Relationship Id="rId7" Type="http://schemas.openxmlformats.org/officeDocument/2006/relationships/hyperlink" Target="mailto:admissions@jesuitportland.org" TargetMode="External"/><Relationship Id="rId8" Type="http://schemas.openxmlformats.org/officeDocument/2006/relationships/hyperlink" Target="mailto:admissions@centralcatholichigh.org" TargetMode="External"/><Relationship Id="rId31" Type="http://schemas.openxmlformats.org/officeDocument/2006/relationships/hyperlink" Target="https://www.jesuitportland.org/about/contact" TargetMode="External"/><Relationship Id="rId30" Type="http://schemas.openxmlformats.org/officeDocument/2006/relationships/hyperlink" Target="https://www.niche.com/k12/jesuit-high-school-portland-or/" TargetMode="External"/><Relationship Id="rId11" Type="http://schemas.openxmlformats.org/officeDocument/2006/relationships/hyperlink" Target="mailto:admissions@delasallenorth.org" TargetMode="External"/><Relationship Id="rId33" Type="http://schemas.openxmlformats.org/officeDocument/2006/relationships/hyperlink" Target="https://www.stmaryspdx.org/about/contact-us/directions" TargetMode="External"/><Relationship Id="rId10" Type="http://schemas.openxmlformats.org/officeDocument/2006/relationships/hyperlink" Target="mailto:admissions@valleycatholic.org" TargetMode="External"/><Relationship Id="rId32" Type="http://schemas.openxmlformats.org/officeDocument/2006/relationships/hyperlink" Target="https://www.stmaryspdx.org/about/contact-us" TargetMode="External"/><Relationship Id="rId13" Type="http://schemas.openxmlformats.org/officeDocument/2006/relationships/hyperlink" Target="mailto:info@setonhigh.org" TargetMode="External"/><Relationship Id="rId35" Type="http://schemas.openxmlformats.org/officeDocument/2006/relationships/drawing" Target="../drawings/drawing11.xml"/><Relationship Id="rId12" Type="http://schemas.openxmlformats.org/officeDocument/2006/relationships/hyperlink" Target="mailto:admissions@lsprep.org" TargetMode="External"/><Relationship Id="rId34" Type="http://schemas.openxmlformats.org/officeDocument/2006/relationships/hyperlink" Target="https://www.portlandmaps.com/detail/school/St.-Mary's-Academy-School/667_did/?property_id=R556757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mailto:aalokolaro@seaprep.org" TargetMode="External"/><Relationship Id="rId17" Type="http://schemas.openxmlformats.org/officeDocument/2006/relationships/hyperlink" Target="mailto:info@cristoreyseattle.org" TargetMode="External"/><Relationship Id="rId16" Type="http://schemas.openxmlformats.org/officeDocument/2006/relationships/hyperlink" Target="mailto:fgonzalez@cristoreyseattle.org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mailto:admissions@jesuitportlan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19.13"/>
    <col customWidth="1" min="4" max="4" width="18.25"/>
    <col customWidth="1" min="5" max="5" width="18.5"/>
    <col customWidth="1" min="6" max="8" width="19.13"/>
    <col customWidth="1" min="9" max="9" width="17.5"/>
    <col customWidth="1" min="10" max="10" width="19.13"/>
  </cols>
  <sheetData>
    <row r="3">
      <c r="K3" s="1"/>
    </row>
    <row r="4">
      <c r="A4" s="2" t="s">
        <v>0</v>
      </c>
      <c r="B4" s="3" t="s">
        <v>1</v>
      </c>
      <c r="C4" s="4" t="s">
        <v>2</v>
      </c>
      <c r="D4" s="4" t="s">
        <v>3</v>
      </c>
      <c r="E4" s="5" t="s">
        <v>4</v>
      </c>
      <c r="F4" s="3" t="s">
        <v>5</v>
      </c>
      <c r="G4" s="3" t="s">
        <v>6</v>
      </c>
      <c r="H4" s="4" t="s">
        <v>7</v>
      </c>
      <c r="I4" s="6" t="s">
        <v>8</v>
      </c>
    </row>
    <row r="5">
      <c r="A5" s="7" t="s">
        <v>9</v>
      </c>
      <c r="B5" s="8" t="s">
        <v>10</v>
      </c>
      <c r="C5" s="9" t="s">
        <v>11</v>
      </c>
      <c r="D5" s="10" t="s">
        <v>12</v>
      </c>
      <c r="E5" s="11" t="s">
        <v>13</v>
      </c>
      <c r="F5" s="12">
        <v>47244.0</v>
      </c>
      <c r="G5" s="8" t="s">
        <v>14</v>
      </c>
      <c r="H5" s="13" t="b">
        <v>1</v>
      </c>
      <c r="I5" s="14"/>
    </row>
    <row r="6">
      <c r="A6" s="15" t="s">
        <v>15</v>
      </c>
      <c r="B6" s="16" t="s">
        <v>16</v>
      </c>
      <c r="C6" s="17" t="s">
        <v>17</v>
      </c>
      <c r="D6" s="18" t="s">
        <v>12</v>
      </c>
      <c r="E6" s="19" t="s">
        <v>18</v>
      </c>
      <c r="F6" s="20">
        <v>47244.0</v>
      </c>
      <c r="G6" s="16" t="s">
        <v>19</v>
      </c>
      <c r="H6" s="21" t="b">
        <v>1</v>
      </c>
      <c r="I6" s="22"/>
    </row>
    <row r="7">
      <c r="A7" s="7" t="s">
        <v>20</v>
      </c>
      <c r="B7" s="8" t="s">
        <v>21</v>
      </c>
      <c r="C7" s="9" t="s">
        <v>22</v>
      </c>
      <c r="D7" s="10" t="s">
        <v>23</v>
      </c>
      <c r="E7" s="11" t="s">
        <v>24</v>
      </c>
      <c r="F7" s="12">
        <v>47244.0</v>
      </c>
      <c r="G7" s="8" t="s">
        <v>25</v>
      </c>
      <c r="H7" s="13" t="b">
        <v>1</v>
      </c>
      <c r="I7" s="14"/>
    </row>
    <row r="8">
      <c r="A8" s="15" t="s">
        <v>26</v>
      </c>
      <c r="B8" s="16" t="s">
        <v>27</v>
      </c>
      <c r="C8" s="17" t="s">
        <v>28</v>
      </c>
      <c r="D8" s="18" t="s">
        <v>23</v>
      </c>
      <c r="E8" s="19" t="s">
        <v>13</v>
      </c>
      <c r="F8" s="20">
        <v>47244.0</v>
      </c>
      <c r="G8" s="16" t="s">
        <v>27</v>
      </c>
      <c r="H8" s="21" t="b">
        <v>1</v>
      </c>
      <c r="I8" s="22"/>
    </row>
    <row r="9">
      <c r="A9" s="7" t="s">
        <v>29</v>
      </c>
      <c r="B9" s="8" t="s">
        <v>30</v>
      </c>
      <c r="C9" s="9" t="s">
        <v>31</v>
      </c>
      <c r="D9" s="10" t="s">
        <v>32</v>
      </c>
      <c r="E9" s="11" t="s">
        <v>13</v>
      </c>
      <c r="F9" s="12">
        <v>47244.0</v>
      </c>
      <c r="G9" s="8" t="s">
        <v>33</v>
      </c>
      <c r="H9" s="23" t="b">
        <v>0</v>
      </c>
      <c r="I9" s="24" t="s">
        <v>34</v>
      </c>
    </row>
    <row r="10">
      <c r="A10" s="15" t="s">
        <v>29</v>
      </c>
      <c r="B10" s="16" t="s">
        <v>30</v>
      </c>
      <c r="C10" s="17" t="s">
        <v>31</v>
      </c>
      <c r="D10" s="18" t="s">
        <v>35</v>
      </c>
      <c r="E10" s="19" t="s">
        <v>13</v>
      </c>
      <c r="F10" s="20">
        <v>47244.0</v>
      </c>
      <c r="G10" s="16" t="s">
        <v>33</v>
      </c>
      <c r="H10" s="25" t="b">
        <v>0</v>
      </c>
      <c r="I10" s="26" t="s">
        <v>34</v>
      </c>
    </row>
    <row r="11">
      <c r="A11" s="7" t="s">
        <v>36</v>
      </c>
      <c r="B11" s="8" t="s">
        <v>37</v>
      </c>
      <c r="C11" s="9" t="s">
        <v>38</v>
      </c>
      <c r="D11" s="10" t="s">
        <v>39</v>
      </c>
      <c r="E11" s="11" t="s">
        <v>13</v>
      </c>
      <c r="F11" s="12">
        <v>47244.0</v>
      </c>
      <c r="G11" s="8" t="s">
        <v>40</v>
      </c>
      <c r="H11" s="13" t="b">
        <v>1</v>
      </c>
      <c r="I11" s="14"/>
    </row>
    <row r="12">
      <c r="A12" s="15" t="s">
        <v>41</v>
      </c>
      <c r="B12" s="16" t="s">
        <v>42</v>
      </c>
      <c r="C12" s="17" t="s">
        <v>43</v>
      </c>
      <c r="D12" s="18" t="s">
        <v>44</v>
      </c>
      <c r="E12" s="19" t="s">
        <v>13</v>
      </c>
      <c r="F12" s="20">
        <v>47244.0</v>
      </c>
      <c r="G12" s="16" t="s">
        <v>45</v>
      </c>
      <c r="H12" s="21" t="b">
        <v>1</v>
      </c>
      <c r="I12" s="22"/>
    </row>
    <row r="13">
      <c r="A13" s="7" t="s">
        <v>46</v>
      </c>
      <c r="B13" s="8" t="s">
        <v>47</v>
      </c>
      <c r="C13" s="9" t="s">
        <v>48</v>
      </c>
      <c r="D13" s="10" t="s">
        <v>49</v>
      </c>
      <c r="E13" s="11" t="s">
        <v>13</v>
      </c>
      <c r="F13" s="12">
        <v>47244.0</v>
      </c>
      <c r="G13" s="8" t="s">
        <v>50</v>
      </c>
      <c r="H13" s="13" t="b">
        <v>1</v>
      </c>
      <c r="I13" s="14"/>
    </row>
    <row r="14">
      <c r="A14" s="15" t="s">
        <v>51</v>
      </c>
      <c r="B14" s="16" t="s">
        <v>52</v>
      </c>
      <c r="C14" s="17" t="s">
        <v>53</v>
      </c>
      <c r="D14" s="18" t="s">
        <v>54</v>
      </c>
      <c r="E14" s="19" t="s">
        <v>13</v>
      </c>
      <c r="F14" s="20">
        <v>47244.0</v>
      </c>
      <c r="G14" s="16" t="s">
        <v>55</v>
      </c>
      <c r="H14" s="21" t="b">
        <v>1</v>
      </c>
      <c r="I14" s="22"/>
    </row>
    <row r="15">
      <c r="A15" s="7" t="s">
        <v>56</v>
      </c>
      <c r="B15" s="8" t="s">
        <v>57</v>
      </c>
      <c r="C15" s="9" t="s">
        <v>58</v>
      </c>
      <c r="D15" s="10" t="s">
        <v>59</v>
      </c>
      <c r="E15" s="11" t="s">
        <v>13</v>
      </c>
      <c r="F15" s="12">
        <v>47244.0</v>
      </c>
      <c r="G15" s="8" t="s">
        <v>60</v>
      </c>
      <c r="H15" s="13" t="b">
        <v>1</v>
      </c>
      <c r="I15" s="14"/>
    </row>
    <row r="16">
      <c r="A16" s="27" t="s">
        <v>61</v>
      </c>
      <c r="B16" s="28" t="s">
        <v>62</v>
      </c>
      <c r="C16" s="29" t="s">
        <v>63</v>
      </c>
      <c r="D16" s="29" t="s">
        <v>23</v>
      </c>
      <c r="E16" s="30" t="s">
        <v>13</v>
      </c>
      <c r="F16" s="31">
        <v>46879.0</v>
      </c>
      <c r="G16" s="28" t="s">
        <v>55</v>
      </c>
      <c r="H16" s="32" t="b">
        <v>1</v>
      </c>
      <c r="I16" s="33"/>
    </row>
    <row r="23">
      <c r="A23" s="34"/>
      <c r="B23" s="34" t="s">
        <v>64</v>
      </c>
    </row>
    <row r="24">
      <c r="B24" s="34" t="s">
        <v>7</v>
      </c>
      <c r="C24" s="35">
        <f>COUNTIF(H5:H15, TRUE) / COUNTA(H5:H15)</f>
        <v>0.8181818182</v>
      </c>
      <c r="G24" s="36" t="s">
        <v>65</v>
      </c>
    </row>
    <row r="26">
      <c r="A26" s="37" t="s">
        <v>66</v>
      </c>
      <c r="B26" s="38"/>
      <c r="C26" s="38"/>
      <c r="D26" s="38"/>
      <c r="E26" s="38"/>
    </row>
    <row r="27">
      <c r="A27" s="38"/>
      <c r="B27" s="37" t="s">
        <v>68</v>
      </c>
      <c r="C27" s="37" t="s">
        <v>69</v>
      </c>
      <c r="D27" s="37" t="s">
        <v>70</v>
      </c>
      <c r="E27" s="37" t="s">
        <v>71</v>
      </c>
    </row>
    <row r="28">
      <c r="A28" s="38"/>
      <c r="B28" s="37" t="s">
        <v>72</v>
      </c>
      <c r="C28" s="37" t="s">
        <v>72</v>
      </c>
      <c r="D28" s="37" t="s">
        <v>72</v>
      </c>
      <c r="E28" s="37" t="s">
        <v>72</v>
      </c>
    </row>
    <row r="29">
      <c r="A29" s="38"/>
      <c r="B29" s="37" t="s">
        <v>72</v>
      </c>
      <c r="C29" s="37" t="s">
        <v>72</v>
      </c>
      <c r="D29" s="37" t="s">
        <v>72</v>
      </c>
      <c r="E29" s="37" t="s">
        <v>72</v>
      </c>
    </row>
    <row r="30">
      <c r="A30" s="38"/>
      <c r="B30" s="37" t="s">
        <v>72</v>
      </c>
      <c r="C30" s="37" t="s">
        <v>72</v>
      </c>
      <c r="D30" s="37" t="s">
        <v>72</v>
      </c>
      <c r="E30" s="37" t="s">
        <v>72</v>
      </c>
    </row>
    <row r="31">
      <c r="A31" s="38"/>
      <c r="B31" s="37" t="s">
        <v>72</v>
      </c>
      <c r="C31" s="37" t="s">
        <v>72</v>
      </c>
      <c r="D31" s="37" t="s">
        <v>72</v>
      </c>
      <c r="E31" s="37" t="s">
        <v>72</v>
      </c>
    </row>
    <row r="32">
      <c r="A32" s="38"/>
      <c r="B32" s="37" t="s">
        <v>72</v>
      </c>
      <c r="C32" s="37" t="s">
        <v>72</v>
      </c>
      <c r="D32" s="37" t="s">
        <v>72</v>
      </c>
      <c r="E32" s="37" t="s">
        <v>72</v>
      </c>
    </row>
    <row r="33">
      <c r="A33" s="38"/>
      <c r="B33" s="37" t="s">
        <v>72</v>
      </c>
      <c r="C33" s="37" t="s">
        <v>72</v>
      </c>
      <c r="D33" s="37" t="s">
        <v>72</v>
      </c>
      <c r="E33" s="37" t="s">
        <v>72</v>
      </c>
    </row>
    <row r="34">
      <c r="A34" s="38"/>
      <c r="B34" s="37" t="s">
        <v>72</v>
      </c>
      <c r="C34" s="37" t="s">
        <v>72</v>
      </c>
      <c r="D34" s="37" t="s">
        <v>72</v>
      </c>
      <c r="E34" s="37" t="s">
        <v>72</v>
      </c>
    </row>
    <row r="35">
      <c r="A35" s="38"/>
      <c r="B35" s="37" t="s">
        <v>72</v>
      </c>
      <c r="C35" s="37" t="s">
        <v>72</v>
      </c>
      <c r="D35" s="37" t="s">
        <v>72</v>
      </c>
      <c r="E35" s="37" t="s">
        <v>72</v>
      </c>
    </row>
    <row r="36">
      <c r="A36" s="38"/>
      <c r="B36" s="37" t="s">
        <v>72</v>
      </c>
      <c r="C36" s="37" t="s">
        <v>72</v>
      </c>
      <c r="D36" s="37" t="s">
        <v>72</v>
      </c>
      <c r="E36" s="37" t="s">
        <v>72</v>
      </c>
    </row>
    <row r="37">
      <c r="A37" s="38"/>
      <c r="B37" s="37" t="s">
        <v>72</v>
      </c>
      <c r="C37" s="37" t="s">
        <v>72</v>
      </c>
      <c r="D37" s="37" t="s">
        <v>72</v>
      </c>
      <c r="E37" s="37" t="s">
        <v>72</v>
      </c>
    </row>
    <row r="38">
      <c r="A38" s="38"/>
      <c r="B38" s="37" t="s">
        <v>72</v>
      </c>
      <c r="C38" s="37" t="s">
        <v>72</v>
      </c>
      <c r="D38" s="37" t="s">
        <v>72</v>
      </c>
      <c r="E38" s="37" t="s">
        <v>72</v>
      </c>
    </row>
    <row r="39">
      <c r="A39" s="38"/>
      <c r="B39" s="38"/>
      <c r="C39" s="38"/>
      <c r="D39" s="38"/>
      <c r="E39" s="38"/>
    </row>
    <row r="40">
      <c r="A40" s="37" t="s">
        <v>74</v>
      </c>
      <c r="B40" s="37">
        <v>22.0</v>
      </c>
      <c r="C40" s="37">
        <v>20.0</v>
      </c>
      <c r="D40" s="37">
        <v>19.0</v>
      </c>
      <c r="E40" s="37">
        <v>19.0</v>
      </c>
    </row>
  </sheetData>
  <dataValidations>
    <dataValidation type="custom" allowBlank="1" showDropDown="1" sqref="F5:F16">
      <formula1>OR(NOT(ISERROR(DATEVALUE(F5))), AND(ISNUMBER(F5), LEFT(CELL("format", F5))="D"))</formula1>
    </dataValidation>
  </dataValidation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12" max="12" width="17.63"/>
  </cols>
  <sheetData>
    <row r="2">
      <c r="B2" s="34" t="s">
        <v>75</v>
      </c>
      <c r="C2" s="34" t="s">
        <v>76</v>
      </c>
    </row>
    <row r="3">
      <c r="B3" s="34" t="s">
        <v>0</v>
      </c>
      <c r="C3" s="34">
        <v>100.0</v>
      </c>
      <c r="D3" s="34">
        <v>200.0</v>
      </c>
      <c r="E3" s="34">
        <v>300.0</v>
      </c>
      <c r="F3" s="34">
        <v>400.0</v>
      </c>
      <c r="G3" s="34">
        <v>500.0</v>
      </c>
      <c r="H3" s="34">
        <v>800.0</v>
      </c>
      <c r="I3" s="34" t="s">
        <v>1</v>
      </c>
      <c r="J3" s="34" t="s">
        <v>2</v>
      </c>
      <c r="K3" s="34" t="s">
        <v>77</v>
      </c>
      <c r="L3" s="34" t="s">
        <v>78</v>
      </c>
      <c r="M3" s="34" t="s">
        <v>79</v>
      </c>
    </row>
    <row r="4">
      <c r="B4" s="40" t="s">
        <v>80</v>
      </c>
      <c r="C4" s="34" t="b">
        <v>1</v>
      </c>
      <c r="D4" s="39" t="b">
        <v>0</v>
      </c>
      <c r="E4" s="39" t="b">
        <v>0</v>
      </c>
      <c r="F4" s="39" t="b">
        <v>0</v>
      </c>
      <c r="G4" s="39" t="b">
        <v>0</v>
      </c>
      <c r="H4" s="39" t="b">
        <v>0</v>
      </c>
    </row>
    <row r="5">
      <c r="B5" s="40" t="s">
        <v>81</v>
      </c>
      <c r="C5" s="34" t="b">
        <v>1</v>
      </c>
      <c r="D5" s="39" t="b">
        <v>0</v>
      </c>
      <c r="E5" s="39" t="b">
        <v>0</v>
      </c>
      <c r="F5" s="39" t="b">
        <v>0</v>
      </c>
      <c r="G5" s="39" t="b">
        <v>0</v>
      </c>
      <c r="H5" s="39" t="b">
        <v>0</v>
      </c>
    </row>
    <row r="6">
      <c r="B6" s="40" t="s">
        <v>82</v>
      </c>
      <c r="C6" s="34" t="b">
        <v>1</v>
      </c>
      <c r="D6" s="39" t="b">
        <v>0</v>
      </c>
      <c r="E6" s="39" t="b">
        <v>0</v>
      </c>
      <c r="F6" s="39" t="b">
        <v>0</v>
      </c>
      <c r="G6" s="39" t="b">
        <v>0</v>
      </c>
      <c r="H6" s="39" t="b">
        <v>0</v>
      </c>
    </row>
    <row r="7">
      <c r="B7" s="40" t="s">
        <v>83</v>
      </c>
      <c r="C7" s="34" t="b">
        <v>1</v>
      </c>
      <c r="D7" s="39" t="b">
        <v>0</v>
      </c>
      <c r="E7" s="39" t="b">
        <v>0</v>
      </c>
      <c r="F7" s="39" t="b">
        <v>0</v>
      </c>
      <c r="G7" s="39" t="b">
        <v>0</v>
      </c>
      <c r="H7" s="39" t="b">
        <v>0</v>
      </c>
    </row>
    <row r="8">
      <c r="B8" s="40" t="s">
        <v>84</v>
      </c>
      <c r="C8" s="34" t="b">
        <v>1</v>
      </c>
      <c r="D8" s="39" t="b">
        <v>0</v>
      </c>
      <c r="E8" s="39" t="b">
        <v>0</v>
      </c>
      <c r="F8" s="39" t="b">
        <v>0</v>
      </c>
      <c r="G8" s="39" t="b">
        <v>0</v>
      </c>
      <c r="H8" s="39" t="b">
        <v>0</v>
      </c>
    </row>
    <row r="9">
      <c r="B9" s="40" t="s">
        <v>85</v>
      </c>
      <c r="C9" s="34" t="b">
        <v>0</v>
      </c>
      <c r="D9" s="39" t="b">
        <v>0</v>
      </c>
      <c r="E9" s="39" t="b">
        <v>0</v>
      </c>
      <c r="F9" s="39" t="b">
        <v>0</v>
      </c>
      <c r="G9" s="39" t="b">
        <v>0</v>
      </c>
      <c r="H9" s="39" t="b">
        <v>0</v>
      </c>
    </row>
    <row r="10">
      <c r="B10" s="40" t="s">
        <v>86</v>
      </c>
      <c r="C10" s="34" t="b">
        <v>0</v>
      </c>
      <c r="D10" s="39" t="b">
        <v>0</v>
      </c>
      <c r="E10" s="39" t="b">
        <v>0</v>
      </c>
      <c r="F10" s="39" t="b">
        <v>0</v>
      </c>
      <c r="G10" s="39" t="b">
        <v>0</v>
      </c>
      <c r="H10" s="39" t="b">
        <v>0</v>
      </c>
    </row>
    <row r="11">
      <c r="B11" s="40" t="s">
        <v>87</v>
      </c>
      <c r="C11" s="34" t="b">
        <v>1</v>
      </c>
      <c r="D11" s="39" t="b">
        <v>0</v>
      </c>
      <c r="E11" s="39" t="b">
        <v>0</v>
      </c>
      <c r="F11" s="39" t="b">
        <v>0</v>
      </c>
      <c r="G11" s="39" t="b">
        <v>0</v>
      </c>
      <c r="H11" s="39" t="b">
        <v>0</v>
      </c>
    </row>
    <row r="12">
      <c r="B12" s="40" t="s">
        <v>88</v>
      </c>
      <c r="C12" s="34" t="b">
        <v>1</v>
      </c>
      <c r="D12" s="34" t="b">
        <v>1</v>
      </c>
      <c r="E12" s="39" t="b">
        <v>0</v>
      </c>
      <c r="F12" s="39" t="b">
        <v>0</v>
      </c>
      <c r="G12" s="39" t="b">
        <v>0</v>
      </c>
      <c r="H12" s="39" t="b">
        <v>0</v>
      </c>
      <c r="M12" s="34" t="s">
        <v>89</v>
      </c>
    </row>
    <row r="13">
      <c r="B13" s="40" t="s">
        <v>90</v>
      </c>
      <c r="C13" s="34" t="b">
        <v>1</v>
      </c>
      <c r="D13" s="39" t="b">
        <v>0</v>
      </c>
      <c r="E13" s="39" t="b">
        <v>0</v>
      </c>
      <c r="F13" s="39" t="b">
        <v>0</v>
      </c>
      <c r="G13" s="39" t="b">
        <v>0</v>
      </c>
      <c r="H13" s="39" t="b">
        <v>0</v>
      </c>
    </row>
    <row r="14">
      <c r="B14" s="40" t="s">
        <v>91</v>
      </c>
      <c r="C14" s="34" t="b">
        <v>0</v>
      </c>
      <c r="D14" s="39" t="b">
        <v>0</v>
      </c>
      <c r="E14" s="39" t="b">
        <v>0</v>
      </c>
      <c r="F14" s="39" t="b">
        <v>0</v>
      </c>
      <c r="G14" s="39" t="b">
        <v>0</v>
      </c>
      <c r="H14" s="39" t="b">
        <v>0</v>
      </c>
    </row>
    <row r="15">
      <c r="B15" s="40" t="s">
        <v>92</v>
      </c>
      <c r="C15" s="34" t="b">
        <v>0</v>
      </c>
      <c r="D15" s="39" t="b">
        <v>0</v>
      </c>
      <c r="E15" s="39" t="b">
        <v>0</v>
      </c>
      <c r="F15" s="39" t="b">
        <v>0</v>
      </c>
      <c r="G15" s="39" t="b">
        <v>0</v>
      </c>
      <c r="H15" s="39" t="b">
        <v>0</v>
      </c>
    </row>
    <row r="16">
      <c r="B16" s="40" t="s">
        <v>93</v>
      </c>
      <c r="C16" s="34" t="b">
        <v>1</v>
      </c>
      <c r="D16" s="39" t="b">
        <v>0</v>
      </c>
      <c r="E16" s="39" t="b">
        <v>0</v>
      </c>
      <c r="F16" s="39" t="b">
        <v>0</v>
      </c>
      <c r="G16" s="39" t="b">
        <v>0</v>
      </c>
      <c r="H16" s="39" t="b">
        <v>0</v>
      </c>
    </row>
    <row r="17">
      <c r="B17" s="40" t="s">
        <v>94</v>
      </c>
      <c r="C17" s="34" t="b">
        <v>1</v>
      </c>
      <c r="D17" s="39" t="b">
        <v>0</v>
      </c>
      <c r="E17" s="39" t="b">
        <v>0</v>
      </c>
      <c r="F17" s="39" t="b">
        <v>0</v>
      </c>
      <c r="G17" s="39" t="b">
        <v>0</v>
      </c>
      <c r="H17" s="39" t="b">
        <v>0</v>
      </c>
    </row>
    <row r="18">
      <c r="B18" s="40" t="s">
        <v>95</v>
      </c>
      <c r="C18" s="34" t="b">
        <v>1</v>
      </c>
      <c r="D18" s="39" t="b">
        <v>0</v>
      </c>
      <c r="E18" s="39" t="b">
        <v>0</v>
      </c>
      <c r="F18" s="39" t="b">
        <v>0</v>
      </c>
      <c r="G18" s="39" t="b">
        <v>0</v>
      </c>
      <c r="H18" s="39" t="b">
        <v>0</v>
      </c>
    </row>
    <row r="19">
      <c r="B19" s="40" t="s">
        <v>96</v>
      </c>
      <c r="C19" s="34" t="b">
        <v>1</v>
      </c>
      <c r="D19" s="39" t="b">
        <v>0</v>
      </c>
      <c r="E19" s="39" t="b">
        <v>0</v>
      </c>
      <c r="F19" s="39" t="b">
        <v>0</v>
      </c>
      <c r="G19" s="39" t="b">
        <v>0</v>
      </c>
      <c r="H19" s="39" t="b">
        <v>0</v>
      </c>
    </row>
    <row r="20">
      <c r="B20" s="40" t="s">
        <v>97</v>
      </c>
      <c r="C20" s="34" t="b">
        <v>1</v>
      </c>
      <c r="D20" s="39" t="b">
        <v>0</v>
      </c>
      <c r="E20" s="39" t="b">
        <v>0</v>
      </c>
      <c r="F20" s="39" t="b">
        <v>0</v>
      </c>
      <c r="G20" s="39" t="b">
        <v>0</v>
      </c>
      <c r="H20" s="39" t="b">
        <v>0</v>
      </c>
    </row>
    <row r="21">
      <c r="B21" s="40" t="s">
        <v>98</v>
      </c>
      <c r="C21" s="34" t="b">
        <v>0</v>
      </c>
      <c r="D21" s="39" t="b">
        <v>0</v>
      </c>
      <c r="E21" s="39" t="b">
        <v>0</v>
      </c>
      <c r="F21" s="39" t="b">
        <v>0</v>
      </c>
      <c r="G21" s="39" t="b">
        <v>0</v>
      </c>
      <c r="H21" s="39" t="b">
        <v>0</v>
      </c>
    </row>
    <row r="22">
      <c r="B22" s="40" t="s">
        <v>99</v>
      </c>
      <c r="C22" s="34" t="b">
        <v>1</v>
      </c>
      <c r="D22" s="39" t="b">
        <v>0</v>
      </c>
      <c r="E22" s="39" t="b">
        <v>0</v>
      </c>
      <c r="F22" s="39" t="b">
        <v>0</v>
      </c>
      <c r="G22" s="39" t="b">
        <v>0</v>
      </c>
      <c r="H22" s="39" t="b">
        <v>0</v>
      </c>
    </row>
    <row r="23">
      <c r="B23" s="40" t="s">
        <v>100</v>
      </c>
      <c r="C23" s="34" t="b">
        <v>0</v>
      </c>
      <c r="D23" s="39" t="b">
        <v>0</v>
      </c>
      <c r="E23" s="39" t="b">
        <v>0</v>
      </c>
      <c r="F23" s="39" t="b">
        <v>0</v>
      </c>
      <c r="G23" s="39" t="b">
        <v>0</v>
      </c>
      <c r="H23" s="39" t="b">
        <v>0</v>
      </c>
    </row>
    <row r="24">
      <c r="B24" s="34" t="s">
        <v>101</v>
      </c>
      <c r="C24" s="39">
        <f t="shared" ref="C24:H24" si="1">COUNTIF(C4:C23,TRUE)</f>
        <v>14</v>
      </c>
      <c r="D24" s="39">
        <f t="shared" si="1"/>
        <v>1</v>
      </c>
      <c r="E24" s="39">
        <f t="shared" si="1"/>
        <v>0</v>
      </c>
      <c r="F24" s="39">
        <f t="shared" si="1"/>
        <v>0</v>
      </c>
      <c r="G24" s="39">
        <f t="shared" si="1"/>
        <v>0</v>
      </c>
      <c r="H24" s="39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>
      <c r="A2" s="44" t="s">
        <v>102</v>
      </c>
    </row>
  </sheetData>
  <mergeCells count="1">
    <mergeCell ref="A2:I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>
      <c r="A2" s="45" t="s">
        <v>9</v>
      </c>
      <c r="B2" s="46" t="s">
        <v>10</v>
      </c>
      <c r="C2" s="46" t="s">
        <v>11</v>
      </c>
      <c r="D2" s="46" t="s">
        <v>12</v>
      </c>
      <c r="E2" s="47" t="s">
        <v>13</v>
      </c>
      <c r="F2" s="47">
        <v>47244.0</v>
      </c>
      <c r="G2" s="46" t="s">
        <v>14</v>
      </c>
      <c r="H2" s="46" t="b">
        <v>1</v>
      </c>
      <c r="I2" s="48"/>
    </row>
    <row r="3">
      <c r="A3" s="45" t="s">
        <v>15</v>
      </c>
      <c r="B3" s="46" t="s">
        <v>16</v>
      </c>
      <c r="C3" s="46" t="s">
        <v>17</v>
      </c>
      <c r="D3" s="46" t="s">
        <v>12</v>
      </c>
      <c r="E3" s="47" t="s">
        <v>18</v>
      </c>
      <c r="F3" s="47">
        <v>47244.0</v>
      </c>
      <c r="G3" s="46" t="s">
        <v>19</v>
      </c>
      <c r="H3" s="46" t="b">
        <v>1</v>
      </c>
      <c r="I3" s="4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>
      <c r="A2" s="44" t="s">
        <v>102</v>
      </c>
    </row>
  </sheetData>
  <mergeCells count="1">
    <mergeCell ref="A2:I2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</row>
    <row r="2">
      <c r="A2" s="44" t="s">
        <v>102</v>
      </c>
    </row>
  </sheetData>
  <mergeCells count="1">
    <mergeCell ref="A2:I2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7" t="s">
        <v>66</v>
      </c>
      <c r="B2" s="38"/>
      <c r="C2" s="38"/>
      <c r="D2" s="38"/>
      <c r="E2" s="38"/>
    </row>
    <row r="3">
      <c r="A3" s="38"/>
      <c r="B3" s="37" t="s">
        <v>68</v>
      </c>
      <c r="C3" s="37" t="s">
        <v>69</v>
      </c>
      <c r="D3" s="37" t="s">
        <v>70</v>
      </c>
      <c r="E3" s="37" t="s">
        <v>71</v>
      </c>
    </row>
    <row r="4">
      <c r="A4" s="38"/>
      <c r="B4" s="37" t="s">
        <v>72</v>
      </c>
      <c r="C4" s="37" t="s">
        <v>72</v>
      </c>
      <c r="D4" s="37" t="s">
        <v>72</v>
      </c>
      <c r="E4" s="37" t="s">
        <v>72</v>
      </c>
    </row>
    <row r="5">
      <c r="A5" s="38"/>
      <c r="B5" s="37" t="s">
        <v>72</v>
      </c>
      <c r="C5" s="37" t="s">
        <v>72</v>
      </c>
      <c r="D5" s="37" t="s">
        <v>72</v>
      </c>
      <c r="E5" s="37" t="s">
        <v>72</v>
      </c>
    </row>
    <row r="6">
      <c r="A6" s="38"/>
      <c r="B6" s="37" t="s">
        <v>72</v>
      </c>
      <c r="C6" s="37" t="s">
        <v>72</v>
      </c>
      <c r="D6" s="37" t="s">
        <v>72</v>
      </c>
      <c r="E6" s="37" t="s">
        <v>72</v>
      </c>
    </row>
    <row r="7">
      <c r="A7" s="38"/>
      <c r="B7" s="37" t="s">
        <v>72</v>
      </c>
      <c r="C7" s="37" t="s">
        <v>72</v>
      </c>
      <c r="D7" s="37" t="s">
        <v>72</v>
      </c>
      <c r="E7" s="37" t="s">
        <v>72</v>
      </c>
    </row>
    <row r="8">
      <c r="A8" s="38"/>
      <c r="B8" s="37" t="s">
        <v>72</v>
      </c>
      <c r="C8" s="37" t="s">
        <v>72</v>
      </c>
      <c r="D8" s="37" t="s">
        <v>72</v>
      </c>
      <c r="E8" s="37" t="s">
        <v>72</v>
      </c>
    </row>
    <row r="9">
      <c r="A9" s="38"/>
      <c r="B9" s="37" t="s">
        <v>72</v>
      </c>
      <c r="C9" s="37" t="s">
        <v>72</v>
      </c>
      <c r="D9" s="37" t="s">
        <v>72</v>
      </c>
      <c r="E9" s="37" t="s">
        <v>72</v>
      </c>
    </row>
    <row r="10">
      <c r="A10" s="38"/>
      <c r="B10" s="37" t="s">
        <v>72</v>
      </c>
      <c r="C10" s="37" t="s">
        <v>72</v>
      </c>
      <c r="D10" s="37" t="s">
        <v>72</v>
      </c>
      <c r="E10" s="37" t="s">
        <v>72</v>
      </c>
    </row>
    <row r="11">
      <c r="A11" s="38"/>
      <c r="B11" s="37" t="s">
        <v>72</v>
      </c>
      <c r="C11" s="37" t="s">
        <v>72</v>
      </c>
      <c r="D11" s="37" t="s">
        <v>72</v>
      </c>
      <c r="E11" s="37" t="s">
        <v>72</v>
      </c>
    </row>
    <row r="12">
      <c r="A12" s="38"/>
      <c r="B12" s="37" t="s">
        <v>72</v>
      </c>
      <c r="C12" s="37" t="s">
        <v>72</v>
      </c>
      <c r="D12" s="37" t="s">
        <v>72</v>
      </c>
      <c r="E12" s="37" t="s">
        <v>72</v>
      </c>
    </row>
    <row r="13">
      <c r="A13" s="38"/>
      <c r="B13" s="37" t="s">
        <v>72</v>
      </c>
      <c r="C13" s="37" t="s">
        <v>72</v>
      </c>
      <c r="D13" s="37" t="s">
        <v>72</v>
      </c>
      <c r="E13" s="37" t="s">
        <v>72</v>
      </c>
    </row>
    <row r="14">
      <c r="A14" s="38"/>
      <c r="B14" s="37" t="s">
        <v>72</v>
      </c>
      <c r="C14" s="37" t="s">
        <v>72</v>
      </c>
      <c r="D14" s="37" t="s">
        <v>72</v>
      </c>
      <c r="E14" s="37" t="s">
        <v>72</v>
      </c>
    </row>
    <row r="15">
      <c r="A15" s="38"/>
      <c r="B15" s="38"/>
      <c r="C15" s="38"/>
      <c r="D15" s="38"/>
      <c r="E15" s="38"/>
    </row>
    <row r="16">
      <c r="A16" s="37" t="s">
        <v>74</v>
      </c>
      <c r="B16" s="37">
        <v>22.0</v>
      </c>
      <c r="C16" s="37">
        <v>20.0</v>
      </c>
      <c r="D16" s="37">
        <v>19.0</v>
      </c>
      <c r="E16" s="37">
        <v>19.0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7" t="s">
        <v>66</v>
      </c>
      <c r="B2" s="38"/>
      <c r="C2" s="38"/>
      <c r="D2" s="38"/>
      <c r="E2" s="38"/>
    </row>
    <row r="3">
      <c r="A3" s="38"/>
      <c r="B3" s="37" t="s">
        <v>68</v>
      </c>
      <c r="C3" s="37" t="s">
        <v>69</v>
      </c>
      <c r="D3" s="37" t="s">
        <v>70</v>
      </c>
      <c r="E3" s="37" t="s">
        <v>71</v>
      </c>
    </row>
    <row r="4">
      <c r="A4" s="38"/>
      <c r="B4" s="37" t="s">
        <v>72</v>
      </c>
      <c r="C4" s="37" t="s">
        <v>72</v>
      </c>
      <c r="D4" s="37" t="s">
        <v>72</v>
      </c>
      <c r="E4" s="37" t="s">
        <v>72</v>
      </c>
    </row>
    <row r="5">
      <c r="A5" s="38"/>
      <c r="B5" s="37" t="s">
        <v>72</v>
      </c>
      <c r="C5" s="37" t="s">
        <v>72</v>
      </c>
      <c r="D5" s="37" t="s">
        <v>72</v>
      </c>
      <c r="E5" s="37" t="s">
        <v>72</v>
      </c>
    </row>
    <row r="6">
      <c r="A6" s="38"/>
      <c r="B6" s="37" t="s">
        <v>72</v>
      </c>
      <c r="C6" s="37" t="s">
        <v>72</v>
      </c>
      <c r="D6" s="37" t="s">
        <v>72</v>
      </c>
      <c r="E6" s="37" t="s">
        <v>72</v>
      </c>
    </row>
    <row r="7">
      <c r="A7" s="38"/>
      <c r="B7" s="37" t="s">
        <v>72</v>
      </c>
      <c r="C7" s="37" t="s">
        <v>72</v>
      </c>
      <c r="D7" s="37" t="s">
        <v>72</v>
      </c>
      <c r="E7" s="37" t="s">
        <v>72</v>
      </c>
    </row>
    <row r="8">
      <c r="A8" s="38"/>
      <c r="B8" s="37" t="s">
        <v>72</v>
      </c>
      <c r="C8" s="37" t="s">
        <v>72</v>
      </c>
      <c r="D8" s="37" t="s">
        <v>72</v>
      </c>
      <c r="E8" s="37" t="s">
        <v>72</v>
      </c>
    </row>
    <row r="9">
      <c r="A9" s="38"/>
      <c r="B9" s="37" t="s">
        <v>72</v>
      </c>
      <c r="C9" s="37" t="s">
        <v>72</v>
      </c>
      <c r="D9" s="37" t="s">
        <v>72</v>
      </c>
      <c r="E9" s="37" t="s">
        <v>72</v>
      </c>
    </row>
    <row r="10">
      <c r="A10" s="38"/>
      <c r="B10" s="37" t="s">
        <v>72</v>
      </c>
      <c r="C10" s="37" t="s">
        <v>72</v>
      </c>
      <c r="D10" s="37" t="s">
        <v>72</v>
      </c>
      <c r="E10" s="37" t="s">
        <v>72</v>
      </c>
    </row>
    <row r="11">
      <c r="A11" s="38"/>
      <c r="B11" s="37" t="s">
        <v>72</v>
      </c>
      <c r="C11" s="37" t="s">
        <v>72</v>
      </c>
      <c r="D11" s="37" t="s">
        <v>72</v>
      </c>
      <c r="E11" s="37" t="s">
        <v>72</v>
      </c>
    </row>
    <row r="12">
      <c r="A12" s="38"/>
      <c r="B12" s="37" t="s">
        <v>72</v>
      </c>
      <c r="C12" s="37" t="s">
        <v>72</v>
      </c>
      <c r="D12" s="37" t="s">
        <v>72</v>
      </c>
      <c r="E12" s="37" t="s">
        <v>72</v>
      </c>
    </row>
    <row r="13">
      <c r="A13" s="38"/>
      <c r="B13" s="37" t="s">
        <v>72</v>
      </c>
      <c r="C13" s="37" t="s">
        <v>72</v>
      </c>
      <c r="D13" s="37" t="s">
        <v>72</v>
      </c>
      <c r="E13" s="37" t="s">
        <v>72</v>
      </c>
    </row>
    <row r="14">
      <c r="A14" s="38"/>
      <c r="B14" s="37" t="s">
        <v>72</v>
      </c>
      <c r="C14" s="37" t="s">
        <v>72</v>
      </c>
      <c r="D14" s="37" t="s">
        <v>72</v>
      </c>
      <c r="E14" s="37" t="s">
        <v>72</v>
      </c>
    </row>
    <row r="15">
      <c r="A15" s="38"/>
      <c r="B15" s="38"/>
      <c r="C15" s="38"/>
      <c r="D15" s="38"/>
      <c r="E15" s="38"/>
    </row>
    <row r="16">
      <c r="A16" s="37" t="s">
        <v>74</v>
      </c>
      <c r="B16" s="37">
        <v>22.0</v>
      </c>
      <c r="C16" s="37">
        <v>20.0</v>
      </c>
      <c r="D16" s="37">
        <v>19.0</v>
      </c>
      <c r="E16" s="37">
        <v>19.0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9.25"/>
    <col customWidth="1" min="10" max="10" width="12.5"/>
  </cols>
  <sheetData>
    <row r="1">
      <c r="A1" s="49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50" t="s">
        <v>112</v>
      </c>
    </row>
    <row r="2">
      <c r="A2" s="51" t="s">
        <v>113</v>
      </c>
      <c r="B2" s="8" t="s">
        <v>114</v>
      </c>
      <c r="C2" s="52" t="s">
        <v>115</v>
      </c>
      <c r="D2" s="53" t="s">
        <v>116</v>
      </c>
      <c r="E2" s="54" t="s">
        <v>117</v>
      </c>
      <c r="F2" s="52" t="s">
        <v>118</v>
      </c>
      <c r="G2" s="55" t="b">
        <v>0</v>
      </c>
      <c r="H2" s="56" t="b">
        <v>0</v>
      </c>
      <c r="I2" s="8"/>
      <c r="J2" s="57"/>
    </row>
    <row r="3">
      <c r="A3" s="58" t="s">
        <v>119</v>
      </c>
      <c r="B3" s="16" t="s">
        <v>114</v>
      </c>
      <c r="C3" s="59" t="s">
        <v>120</v>
      </c>
      <c r="D3" s="59" t="s">
        <v>121</v>
      </c>
      <c r="E3" s="59" t="s">
        <v>122</v>
      </c>
      <c r="F3" s="59" t="s">
        <v>118</v>
      </c>
      <c r="G3" s="60" t="b">
        <v>0</v>
      </c>
      <c r="H3" s="61" t="b">
        <v>0</v>
      </c>
      <c r="I3" s="16"/>
      <c r="J3" s="62"/>
    </row>
    <row r="4">
      <c r="A4" s="51" t="s">
        <v>123</v>
      </c>
      <c r="B4" s="8"/>
      <c r="C4" s="8"/>
      <c r="D4" s="52" t="s">
        <v>124</v>
      </c>
      <c r="E4" s="52" t="s">
        <v>22</v>
      </c>
      <c r="F4" s="52" t="s">
        <v>125</v>
      </c>
      <c r="G4" s="55" t="b">
        <v>0</v>
      </c>
      <c r="H4" s="56" t="b">
        <v>0</v>
      </c>
      <c r="I4" s="8"/>
      <c r="J4" s="57"/>
    </row>
    <row r="5">
      <c r="A5" s="58" t="s">
        <v>126</v>
      </c>
      <c r="B5" s="16"/>
      <c r="C5" s="16"/>
      <c r="D5" s="59" t="s">
        <v>127</v>
      </c>
      <c r="E5" s="59" t="s">
        <v>22</v>
      </c>
      <c r="F5" s="59" t="s">
        <v>128</v>
      </c>
      <c r="G5" s="60" t="b">
        <v>0</v>
      </c>
      <c r="H5" s="61" t="b">
        <v>0</v>
      </c>
      <c r="I5" s="16"/>
      <c r="J5" s="62"/>
    </row>
    <row r="6">
      <c r="A6" s="51" t="s">
        <v>129</v>
      </c>
      <c r="B6" s="8"/>
      <c r="C6" s="8"/>
      <c r="D6" s="52" t="s">
        <v>130</v>
      </c>
      <c r="E6" s="52" t="s">
        <v>22</v>
      </c>
      <c r="F6" s="52" t="s">
        <v>131</v>
      </c>
      <c r="G6" s="55" t="b">
        <v>0</v>
      </c>
      <c r="H6" s="56" t="b">
        <v>0</v>
      </c>
      <c r="I6" s="8"/>
      <c r="J6" s="57"/>
    </row>
    <row r="7">
      <c r="A7" s="58" t="s">
        <v>132</v>
      </c>
      <c r="B7" s="16"/>
      <c r="C7" s="16"/>
      <c r="D7" s="59" t="s">
        <v>133</v>
      </c>
      <c r="E7" s="59" t="s">
        <v>63</v>
      </c>
      <c r="F7" s="59" t="s">
        <v>134</v>
      </c>
      <c r="G7" s="60" t="b">
        <v>0</v>
      </c>
      <c r="H7" s="61" t="b">
        <v>0</v>
      </c>
      <c r="I7" s="16"/>
      <c r="J7" s="62"/>
    </row>
    <row r="8">
      <c r="A8" s="51" t="s">
        <v>135</v>
      </c>
      <c r="B8" s="8"/>
      <c r="C8" s="8"/>
      <c r="D8" s="52" t="s">
        <v>136</v>
      </c>
      <c r="E8" s="52" t="s">
        <v>48</v>
      </c>
      <c r="F8" s="52" t="s">
        <v>137</v>
      </c>
      <c r="G8" s="55" t="b">
        <v>0</v>
      </c>
      <c r="H8" s="56" t="b">
        <v>0</v>
      </c>
      <c r="I8" s="8"/>
      <c r="J8" s="57"/>
    </row>
    <row r="9">
      <c r="A9" s="58" t="s">
        <v>138</v>
      </c>
      <c r="B9" s="16"/>
      <c r="C9" s="16"/>
      <c r="D9" s="59" t="s">
        <v>139</v>
      </c>
      <c r="E9" s="59" t="s">
        <v>48</v>
      </c>
      <c r="F9" s="59" t="s">
        <v>140</v>
      </c>
      <c r="G9" s="60" t="b">
        <v>0</v>
      </c>
      <c r="H9" s="61" t="b">
        <v>0</v>
      </c>
      <c r="I9" s="16"/>
      <c r="J9" s="62"/>
    </row>
    <row r="10">
      <c r="A10" s="51" t="s">
        <v>141</v>
      </c>
      <c r="B10" s="8"/>
      <c r="C10" s="8"/>
      <c r="D10" s="52" t="s">
        <v>142</v>
      </c>
      <c r="E10" s="52" t="s">
        <v>143</v>
      </c>
      <c r="F10" s="52" t="s">
        <v>144</v>
      </c>
      <c r="G10" s="55" t="b">
        <v>0</v>
      </c>
      <c r="H10" s="56" t="b">
        <v>0</v>
      </c>
      <c r="I10" s="8"/>
      <c r="J10" s="57"/>
    </row>
    <row r="11">
      <c r="A11" s="58" t="s">
        <v>145</v>
      </c>
      <c r="B11" s="16"/>
      <c r="C11" s="16"/>
      <c r="D11" s="59" t="s">
        <v>146</v>
      </c>
      <c r="E11" s="59" t="s">
        <v>48</v>
      </c>
      <c r="F11" s="59" t="s">
        <v>147</v>
      </c>
      <c r="G11" s="60" t="b">
        <v>0</v>
      </c>
      <c r="H11" s="61" t="b">
        <v>0</v>
      </c>
      <c r="I11" s="16"/>
      <c r="J11" s="62"/>
    </row>
    <row r="12">
      <c r="A12" s="51" t="s">
        <v>148</v>
      </c>
      <c r="B12" s="8"/>
      <c r="C12" s="8"/>
      <c r="D12" s="52" t="s">
        <v>149</v>
      </c>
      <c r="E12" s="52" t="s">
        <v>150</v>
      </c>
      <c r="F12" s="52" t="s">
        <v>151</v>
      </c>
      <c r="G12" s="55" t="b">
        <v>0</v>
      </c>
      <c r="H12" s="56" t="b">
        <v>0</v>
      </c>
      <c r="I12" s="8"/>
      <c r="J12" s="57"/>
    </row>
    <row r="13">
      <c r="A13" s="58" t="s">
        <v>152</v>
      </c>
      <c r="B13" s="16"/>
      <c r="C13" s="16"/>
      <c r="D13" s="59" t="s">
        <v>153</v>
      </c>
      <c r="E13" s="59" t="s">
        <v>43</v>
      </c>
      <c r="F13" s="59" t="s">
        <v>154</v>
      </c>
      <c r="G13" s="60" t="b">
        <v>0</v>
      </c>
      <c r="H13" s="61" t="b">
        <v>0</v>
      </c>
      <c r="I13" s="16"/>
      <c r="J13" s="62"/>
    </row>
    <row r="14">
      <c r="A14" s="51"/>
      <c r="B14" s="8"/>
      <c r="C14" s="8"/>
      <c r="D14" s="52"/>
      <c r="E14" s="52"/>
      <c r="F14" s="52"/>
      <c r="G14" s="55" t="b">
        <v>0</v>
      </c>
      <c r="H14" s="56" t="b">
        <v>0</v>
      </c>
      <c r="I14" s="8"/>
      <c r="J14" s="57"/>
    </row>
    <row r="15">
      <c r="A15" s="63"/>
      <c r="B15" s="64"/>
      <c r="C15" s="64"/>
      <c r="D15" s="28"/>
      <c r="E15" s="28"/>
      <c r="F15" s="28"/>
      <c r="G15" s="65" t="b">
        <v>0</v>
      </c>
      <c r="H15" s="66" t="b">
        <v>0</v>
      </c>
      <c r="I15" s="64"/>
      <c r="J15" s="67"/>
    </row>
  </sheetData>
  <hyperlinks>
    <hyperlink r:id="rId1" ref="D2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4.0"/>
  </cols>
  <sheetData>
    <row r="1">
      <c r="A1" s="68" t="s">
        <v>155</v>
      </c>
    </row>
    <row r="2">
      <c r="A2" s="69"/>
    </row>
    <row r="3">
      <c r="A3" s="68" t="s">
        <v>156</v>
      </c>
    </row>
    <row r="4">
      <c r="A4" s="69"/>
    </row>
    <row r="5">
      <c r="A5" s="68" t="s">
        <v>157</v>
      </c>
    </row>
    <row r="6">
      <c r="A6" s="69"/>
    </row>
    <row r="7">
      <c r="A7" s="68" t="s">
        <v>158</v>
      </c>
    </row>
    <row r="8">
      <c r="A8" s="70"/>
    </row>
    <row r="9">
      <c r="A9" s="71" t="s">
        <v>103</v>
      </c>
      <c r="B9" s="71" t="s">
        <v>159</v>
      </c>
      <c r="C9" s="71" t="s">
        <v>160</v>
      </c>
      <c r="D9" s="71" t="s">
        <v>161</v>
      </c>
    </row>
    <row r="10">
      <c r="A10" s="71" t="s">
        <v>113</v>
      </c>
      <c r="B10" s="71" t="s">
        <v>22</v>
      </c>
      <c r="C10" s="71" t="s">
        <v>162</v>
      </c>
      <c r="D10" s="72" t="s">
        <v>163</v>
      </c>
    </row>
    <row r="11">
      <c r="A11" s="71" t="s">
        <v>119</v>
      </c>
      <c r="B11" s="71" t="s">
        <v>22</v>
      </c>
      <c r="C11" s="71" t="s">
        <v>164</v>
      </c>
      <c r="D11" s="72" t="s">
        <v>165</v>
      </c>
    </row>
    <row r="12">
      <c r="A12" s="70"/>
    </row>
    <row r="13">
      <c r="A13" s="73" t="s">
        <v>166</v>
      </c>
    </row>
    <row r="14">
      <c r="A14" s="70"/>
    </row>
    <row r="15">
      <c r="A15" s="71" t="s">
        <v>103</v>
      </c>
      <c r="B15" s="71" t="s">
        <v>159</v>
      </c>
      <c r="C15" s="71" t="s">
        <v>160</v>
      </c>
      <c r="D15" s="71" t="s">
        <v>167</v>
      </c>
    </row>
    <row r="16">
      <c r="A16" s="71" t="s">
        <v>123</v>
      </c>
      <c r="B16" s="71" t="s">
        <v>22</v>
      </c>
      <c r="C16" s="71" t="s">
        <v>125</v>
      </c>
      <c r="D16" s="72" t="s">
        <v>168</v>
      </c>
    </row>
    <row r="17">
      <c r="A17" s="71" t="s">
        <v>126</v>
      </c>
      <c r="B17" s="71" t="s">
        <v>22</v>
      </c>
      <c r="C17" s="71" t="s">
        <v>128</v>
      </c>
      <c r="D17" s="72" t="s">
        <v>169</v>
      </c>
    </row>
    <row r="18">
      <c r="A18" s="71" t="s">
        <v>129</v>
      </c>
      <c r="B18" s="71" t="s">
        <v>22</v>
      </c>
      <c r="C18" s="71" t="s">
        <v>131</v>
      </c>
      <c r="D18" s="72" t="s">
        <v>170</v>
      </c>
    </row>
    <row r="19">
      <c r="A19" s="71" t="s">
        <v>132</v>
      </c>
      <c r="B19" s="71" t="s">
        <v>63</v>
      </c>
      <c r="C19" s="71" t="s">
        <v>134</v>
      </c>
      <c r="D19" s="72" t="s">
        <v>171</v>
      </c>
    </row>
    <row r="20">
      <c r="A20" s="70"/>
    </row>
    <row r="21">
      <c r="A21" s="73" t="s">
        <v>172</v>
      </c>
    </row>
    <row r="22">
      <c r="A22" s="70"/>
    </row>
    <row r="23">
      <c r="A23" s="73" t="s">
        <v>158</v>
      </c>
    </row>
    <row r="24">
      <c r="A24" s="70"/>
    </row>
    <row r="25">
      <c r="A25" s="71" t="s">
        <v>103</v>
      </c>
      <c r="B25" s="71" t="s">
        <v>159</v>
      </c>
      <c r="C25" s="71" t="s">
        <v>160</v>
      </c>
      <c r="D25" s="71" t="s">
        <v>161</v>
      </c>
    </row>
    <row r="26">
      <c r="A26" s="71" t="s">
        <v>173</v>
      </c>
      <c r="B26" s="71" t="s">
        <v>143</v>
      </c>
      <c r="C26" s="71" t="s">
        <v>174</v>
      </c>
      <c r="D26" s="72" t="s">
        <v>175</v>
      </c>
    </row>
    <row r="27">
      <c r="A27" s="70"/>
    </row>
    <row r="28">
      <c r="A28" s="73" t="s">
        <v>166</v>
      </c>
    </row>
    <row r="29">
      <c r="A29" s="70"/>
    </row>
    <row r="30">
      <c r="A30" s="71" t="s">
        <v>103</v>
      </c>
      <c r="B30" s="71" t="s">
        <v>159</v>
      </c>
      <c r="C30" s="71" t="s">
        <v>160</v>
      </c>
      <c r="D30" s="71" t="s">
        <v>167</v>
      </c>
    </row>
    <row r="31">
      <c r="A31" s="71" t="s">
        <v>135</v>
      </c>
      <c r="B31" s="71" t="s">
        <v>48</v>
      </c>
      <c r="C31" s="71" t="s">
        <v>137</v>
      </c>
      <c r="D31" s="72" t="s">
        <v>176</v>
      </c>
    </row>
    <row r="32">
      <c r="A32" s="71" t="s">
        <v>138</v>
      </c>
      <c r="B32" s="71" t="s">
        <v>48</v>
      </c>
      <c r="C32" s="71" t="s">
        <v>140</v>
      </c>
      <c r="D32" s="72" t="s">
        <v>177</v>
      </c>
    </row>
    <row r="33">
      <c r="A33" s="71" t="s">
        <v>141</v>
      </c>
      <c r="B33" s="71" t="s">
        <v>143</v>
      </c>
      <c r="C33" s="71" t="s">
        <v>144</v>
      </c>
      <c r="D33" s="72" t="s">
        <v>178</v>
      </c>
    </row>
    <row r="34">
      <c r="A34" s="71" t="s">
        <v>145</v>
      </c>
      <c r="B34" s="71" t="s">
        <v>48</v>
      </c>
      <c r="C34" s="71" t="s">
        <v>147</v>
      </c>
      <c r="D34" s="72" t="s">
        <v>179</v>
      </c>
    </row>
    <row r="35">
      <c r="A35" s="71" t="s">
        <v>148</v>
      </c>
      <c r="B35" s="71" t="s">
        <v>150</v>
      </c>
      <c r="C35" s="71" t="s">
        <v>151</v>
      </c>
      <c r="D35" s="72" t="s">
        <v>180</v>
      </c>
    </row>
    <row r="36">
      <c r="A36" s="71" t="s">
        <v>152</v>
      </c>
      <c r="B36" s="71" t="s">
        <v>43</v>
      </c>
      <c r="C36" s="71" t="s">
        <v>154</v>
      </c>
      <c r="D36" s="72" t="s">
        <v>181</v>
      </c>
    </row>
    <row r="37">
      <c r="A37" s="70"/>
    </row>
    <row r="38">
      <c r="A38" s="73" t="s">
        <v>182</v>
      </c>
    </row>
    <row r="39">
      <c r="A39" s="70"/>
    </row>
    <row r="40">
      <c r="A40" s="73" t="s">
        <v>183</v>
      </c>
    </row>
    <row r="41">
      <c r="A41" s="70"/>
    </row>
    <row r="42">
      <c r="A42" s="73" t="s">
        <v>184</v>
      </c>
    </row>
    <row r="43">
      <c r="A43" s="70"/>
    </row>
    <row r="44">
      <c r="A44" s="73" t="s">
        <v>185</v>
      </c>
    </row>
    <row r="45">
      <c r="A45" s="70"/>
    </row>
    <row r="46">
      <c r="A46" s="73" t="s">
        <v>186</v>
      </c>
    </row>
    <row r="47">
      <c r="A47" s="70"/>
    </row>
    <row r="48">
      <c r="A48" s="73" t="s">
        <v>187</v>
      </c>
    </row>
    <row r="49">
      <c r="A49" s="70"/>
    </row>
    <row r="50">
      <c r="A50" s="74" t="s">
        <v>188</v>
      </c>
    </row>
    <row r="51">
      <c r="A51" s="70"/>
    </row>
    <row r="52">
      <c r="A52" s="74" t="s">
        <v>189</v>
      </c>
    </row>
    <row r="53">
      <c r="A53" s="70"/>
    </row>
    <row r="54">
      <c r="A54" s="73" t="s">
        <v>119</v>
      </c>
    </row>
    <row r="55">
      <c r="A55" s="70"/>
    </row>
    <row r="56">
      <c r="A56" s="74" t="s">
        <v>190</v>
      </c>
    </row>
    <row r="57">
      <c r="A57" s="70"/>
    </row>
    <row r="58">
      <c r="A58" s="74" t="s">
        <v>191</v>
      </c>
    </row>
    <row r="59">
      <c r="A59" s="70"/>
    </row>
    <row r="60">
      <c r="A60" s="73" t="s">
        <v>192</v>
      </c>
    </row>
    <row r="61">
      <c r="A61" s="70"/>
    </row>
    <row r="62">
      <c r="A62" s="74" t="s">
        <v>193</v>
      </c>
    </row>
    <row r="63">
      <c r="A63" s="70"/>
    </row>
    <row r="64">
      <c r="A64" s="74" t="s">
        <v>194</v>
      </c>
    </row>
    <row r="65">
      <c r="A65" s="70"/>
    </row>
    <row r="66">
      <c r="A66" s="73" t="s">
        <v>195</v>
      </c>
    </row>
    <row r="67">
      <c r="A67" s="70"/>
    </row>
    <row r="68">
      <c r="A68" s="74" t="s">
        <v>196</v>
      </c>
    </row>
    <row r="69">
      <c r="A69" s="70"/>
    </row>
    <row r="70">
      <c r="A70" s="73" t="s">
        <v>197</v>
      </c>
    </row>
    <row r="71">
      <c r="A71" s="70"/>
    </row>
    <row r="72">
      <c r="A72" s="73" t="s">
        <v>198</v>
      </c>
    </row>
    <row r="73">
      <c r="A73" s="70"/>
    </row>
    <row r="74">
      <c r="A74" s="75" t="s">
        <v>199</v>
      </c>
    </row>
    <row r="75">
      <c r="A75" s="76"/>
    </row>
    <row r="76">
      <c r="A76" s="75" t="s">
        <v>200</v>
      </c>
    </row>
    <row r="77">
      <c r="A77" s="76"/>
    </row>
    <row r="78">
      <c r="A78" s="75" t="s">
        <v>201</v>
      </c>
    </row>
    <row r="79">
      <c r="A79" s="76"/>
    </row>
    <row r="80">
      <c r="A80" s="75" t="s">
        <v>202</v>
      </c>
    </row>
    <row r="81">
      <c r="A81" s="76"/>
    </row>
    <row r="82">
      <c r="A82" s="75" t="s">
        <v>203</v>
      </c>
    </row>
    <row r="83">
      <c r="A83" s="76"/>
    </row>
    <row r="84">
      <c r="A84" s="75" t="s">
        <v>204</v>
      </c>
    </row>
    <row r="85">
      <c r="A85" s="76"/>
    </row>
    <row r="86">
      <c r="A86" s="75" t="s">
        <v>205</v>
      </c>
    </row>
    <row r="87">
      <c r="A87" s="76"/>
    </row>
    <row r="88">
      <c r="A88" s="75" t="s">
        <v>206</v>
      </c>
    </row>
    <row r="89">
      <c r="A89" s="76"/>
    </row>
    <row r="90">
      <c r="A90" s="75" t="s">
        <v>207</v>
      </c>
    </row>
    <row r="91">
      <c r="A91" s="76"/>
    </row>
    <row r="92">
      <c r="A92" s="75" t="s">
        <v>208</v>
      </c>
    </row>
    <row r="93">
      <c r="A93" s="76"/>
    </row>
    <row r="94">
      <c r="A94" s="75" t="s">
        <v>209</v>
      </c>
    </row>
    <row r="95">
      <c r="A95" s="76"/>
    </row>
    <row r="96">
      <c r="A96" s="75" t="s">
        <v>210</v>
      </c>
    </row>
    <row r="97">
      <c r="A97" s="76"/>
    </row>
    <row r="98">
      <c r="A98" s="75" t="s">
        <v>211</v>
      </c>
    </row>
    <row r="99">
      <c r="A99" s="76"/>
    </row>
    <row r="100">
      <c r="A100" s="75" t="s">
        <v>212</v>
      </c>
    </row>
  </sheetData>
  <hyperlinks>
    <hyperlink r:id="rId1" ref="D10"/>
    <hyperlink r:id="rId2" ref="D11"/>
    <hyperlink r:id="rId3" ref="D16"/>
    <hyperlink r:id="rId4" ref="D17"/>
    <hyperlink r:id="rId5" ref="D18"/>
    <hyperlink r:id="rId6" ref="D19"/>
    <hyperlink r:id="rId7" ref="D26"/>
    <hyperlink r:id="rId8" ref="D31"/>
    <hyperlink r:id="rId9" ref="D32"/>
    <hyperlink r:id="rId10" ref="D33"/>
    <hyperlink r:id="rId11" ref="D34"/>
    <hyperlink r:id="rId12" ref="D35"/>
    <hyperlink r:id="rId13" ref="D36"/>
    <hyperlink r:id="rId14" ref="A50"/>
    <hyperlink r:id="rId15" location="fn1" ref="A52"/>
    <hyperlink r:id="rId16" ref="A56"/>
    <hyperlink r:id="rId17" ref="A58"/>
    <hyperlink r:id="rId18" ref="A62"/>
    <hyperlink r:id="rId19" location="fn9" ref="A64"/>
    <hyperlink r:id="rId20" ref="A68"/>
    <hyperlink r:id="rId21" ref="A74"/>
    <hyperlink r:id="rId22" ref="A76"/>
    <hyperlink r:id="rId23" ref="A78"/>
    <hyperlink r:id="rId24" ref="A80"/>
    <hyperlink r:id="rId25" ref="A82"/>
    <hyperlink r:id="rId26" ref="A84"/>
    <hyperlink r:id="rId27" ref="A86"/>
    <hyperlink r:id="rId28" ref="A88"/>
    <hyperlink r:id="rId29" ref="A90"/>
    <hyperlink r:id="rId30" ref="A92"/>
    <hyperlink r:id="rId31" ref="A94"/>
    <hyperlink r:id="rId32" ref="A96"/>
    <hyperlink r:id="rId33" ref="A98"/>
    <hyperlink r:id="rId34" ref="A100"/>
  </hyperlinks>
  <drawing r:id="rId35"/>
</worksheet>
</file>